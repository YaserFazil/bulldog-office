
<file path=[Content_Types].xml><?xml version="1.0" encoding="utf-8"?>
<Types xmlns="http://schemas.openxmlformats.org/package/2006/content-types">
  <Default ContentType="application/vnd.ms-office.vbaProject" Extension="bin"/>
  <Default ContentType="application/vnd.openxmlformats-package.relationships+xml" Extension="rels"/>
  <Default ContentType="application/xml" Extension="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spreadsheetml.sharedStrings+xml" PartName="/xl/sharedStrings.xml"/>
  <Override ContentType="application/vnd.openxmlformats-package.core-properties+xml" PartName="/docProps/core.xml"/>
  <Override ContentType="application/vnd.openxmlformats-officedocument.extended-properties+xml" PartName="/docProps/app.xml"/>
</Types>
</file>

<file path=_rels/.rels><?xml version="1.0" encoding="UTF-8" standalone="yes"?><Relationships xmlns="http://schemas.openxmlformats.org/package/2006/relationships"><Relationship Target="docProps/app.xml" Type="http://schemas.openxmlformats.org/officeDocument/2006/relationships/extended-properties" Id="rId3"/><Relationship Target="docProps/core.xml" Type="http://schemas.openxmlformats.org/package/2006/relationships/metadata/core-properties" Id="rId2"/><Relationship Target="xl/workbook.xml" Type="http://schemas.openxmlformats.org/officeDocument/2006/relationships/officeDocument" Id="rId1"/></Relationships>
</file>

<file path=xl/workbook.xml><?xml version="1.0" encoding="utf-8"?>
<workbook xmlns="http://schemas.openxmlformats.org/spreadsheetml/2006/main" xmlns:r="http://schemas.openxmlformats.org/officeDocument/2006/relationships">
  <fileVersion rupBuild="9303" lowestEdited="5" lastEdited="5" appName="xl"/>
  <workbookPr/>
  <bookViews>
    <workbookView xWindow="480" yWindow="60" windowWidth="18195" windowHeight="8505" activeTab="2"/>
  </bookViews>
  <sheets>
    <sheet r:id="rId1" sheetId="1" name="ImportData"/>
    <sheet r:id="rId2" sheetId="2" name="Calendar"/>
    <sheet r:id="rId3" sheetId="3" name="AllData"/>
  </sheets>
  <definedNames>
    <definedName name="_xleta.IF">#NAME?</definedName>
    <definedName name="_xleta.T">#NAME?</definedName>
  </definedNames>
  <calcPr fullCalcOnLoad="1"/>
</workbook>
</file>

<file path=xl/sharedStrings.xml><?xml version="1.0" encoding="utf-8"?>
<sst xmlns="http://schemas.openxmlformats.org/spreadsheetml/2006/main" count="119" uniqueCount="53">
  <si>
    <t>Date</t>
  </si>
  <si>
    <t>Day</t>
  </si>
  <si>
    <t>Check In</t>
  </si>
  <si>
    <t>Check Out</t>
  </si>
  <si>
    <t>Work Hours</t>
  </si>
  <si>
    <t>Break</t>
  </si>
  <si>
    <t>Work Time - Break</t>
  </si>
  <si>
    <t>Standard Time</t>
  </si>
  <si>
    <t>Difference</t>
  </si>
  <si>
    <t>Holiday</t>
  </si>
  <si>
    <t>Note</t>
  </si>
  <si>
    <t>Hours Holiday</t>
  </si>
  <si>
    <t>WED</t>
  </si>
  <si>
    <t>THU</t>
  </si>
  <si>
    <t>ATTENTION</t>
  </si>
  <si>
    <t>FRI</t>
  </si>
  <si>
    <t>SAT</t>
  </si>
  <si>
    <t>SUN</t>
  </si>
  <si>
    <t>MON</t>
  </si>
  <si>
    <t>TUE</t>
  </si>
  <si>
    <t>01.01.2025 Neujahr</t>
  </si>
  <si>
    <t>06.01.2025 Heilige Drei Könige</t>
  </si>
  <si>
    <t>31.03.2025 Ostermontag</t>
  </si>
  <si>
    <t>01.05.2025 Staatsfeiertag</t>
  </si>
  <si>
    <t>29.05.2025 Christi Himmelfahrt</t>
  </si>
  <si>
    <t>09.06.2025 Pfingstmontag</t>
  </si>
  <si>
    <t>19.06.2025 Fronleichnam</t>
  </si>
  <si>
    <t>All Saints' Day</t>
  </si>
  <si>
    <t>15.08.2025 Mariä Himmelfahrt</t>
  </si>
  <si>
    <t>Christmas Day</t>
  </si>
  <si>
    <t>St Stephen's Day</t>
  </si>
  <si>
    <t>26.10.2025 Nationalfeiertag</t>
  </si>
  <si>
    <t>01.11.2025 Allerheiligen</t>
  </si>
  <si>
    <t>08.12.2025 Mariä Empfängnis</t>
  </si>
  <si>
    <t>25.12.2025 Weihnachten</t>
  </si>
  <si>
    <t>26.12.2025 Stefanitag</t>
  </si>
  <si>
    <t>Timecard Report</t>
  </si>
  <si>
    <t>Pay Period</t>
  </si>
  <si>
    <t>20250127-20250202</t>
  </si>
  <si>
    <t xml:space="preserve">Name: </t>
  </si>
  <si>
    <t>_Surname</t>
  </si>
  <si>
    <t>Hours Holiday:</t>
  </si>
  <si>
    <t>Employee</t>
  </si>
  <si>
    <t>Osman Kocabal (4)</t>
  </si>
  <si>
    <t>IN</t>
  </si>
  <si>
    <t>OUT</t>
  </si>
  <si>
    <t>Work Time</t>
  </si>
  <si>
    <t xml:space="preserve"> Daily Total</t>
  </si>
  <si>
    <t xml:space="preserve"> Note</t>
  </si>
  <si>
    <t>Total Hours</t>
  </si>
  <si>
    <t>Actual Hours Worked</t>
  </si>
  <si>
    <t>Expected Work</t>
  </si>
  <si>
    <t>Total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</si>
</sst>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 mc:Ignorable="x14ac">
  <numFmts count="4">
    <numFmt numFmtId="164" formatCode="h:mm:ss tt"/>
    <numFmt numFmtId="165" formatCode="h:mm:ss Am/Pm"/>
    <numFmt numFmtId="166" formatCode="[h]:mm"/>
    <numFmt numFmtId="167" formatCode="dd.mm.yyyy"/>
  </numFmts>
  <fonts count="7" x14ac:knownFonts="1">
    <font>
      <sz val="11"/>
      <color theme="1"/>
      <name val="Calibri"/>
      <family val="2"/>
      <scheme val="minor"/>
    </font>
    <font>
      <b/>
      <sz val="10"/>
      <color rgb="FF000000"/>
      <name val="Calibri"/>
      <family val="2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sz val="11"/>
      <color theme="1"/>
      <name val="Calibri"/>
      <family val="2"/>
    </font>
    <font>
      <u/>
      <sz val="11"/>
      <color rgb="FF000000"/>
      <name val="Calibri"/>
      <family val="2"/>
    </font>
    <font>
      <sz val="11"/>
      <color rgb="FFff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d966"/>
      </patternFill>
    </fill>
    <fill>
      <patternFill patternType="solid">
        <fgColor rgb="FFffffff"/>
      </patternFill>
    </fill>
  </fills>
  <borders count="4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c6c6c6"/>
      </left>
      <right style="thin">
        <color rgb="FFc6c6c6"/>
      </right>
      <top style="medium">
        <color rgb="FFdddddd"/>
      </top>
      <bottom style="thin">
        <color rgb="FFc6c6c6"/>
      </bottom>
      <diagonal/>
    </border>
  </borders>
  <cellStyleXfs count="1">
    <xf numFmtId="0" fontId="0" fillId="0" borderId="0"/>
  </cellStyleXfs>
  <cellXfs count="64">
    <xf xfId="0" numFmtId="0" borderId="0" fontId="0" fillId="0"/>
    <xf xfId="0" numFmtId="14" applyNumberFormat="1" borderId="1" applyBorder="1" fontId="1" applyFont="1" fillId="0" applyAlignment="1">
      <alignment horizontal="center"/>
    </xf>
    <xf xfId="0" numFmtId="0" borderId="1" applyBorder="1" fontId="1" applyFont="1" fillId="0" applyAlignment="1">
      <alignment horizontal="center"/>
    </xf>
    <xf xfId="0" numFmtId="164" applyNumberFormat="1" borderId="1" applyBorder="1" fontId="1" applyFont="1" fillId="0" applyAlignment="1">
      <alignment horizontal="center"/>
    </xf>
    <xf xfId="0" numFmtId="46" applyNumberFormat="1" borderId="1" applyBorder="1" fontId="1" applyFont="1" fillId="2" applyFill="1" applyAlignment="1">
      <alignment horizontal="center"/>
    </xf>
    <xf xfId="0" numFmtId="0" borderId="1" applyBorder="1" fontId="1" applyFont="1" fillId="2" applyFill="1" applyAlignment="1">
      <alignment horizontal="center"/>
    </xf>
    <xf xfId="0" numFmtId="14" applyNumberFormat="1" borderId="2" applyBorder="1" fontId="2" applyFont="1" fillId="0" applyAlignment="1">
      <alignment horizontal="left"/>
    </xf>
    <xf xfId="0" numFmtId="0" borderId="1" applyBorder="1" fontId="3" applyFont="1" fillId="0" applyAlignment="1">
      <alignment horizontal="center"/>
    </xf>
    <xf xfId="0" numFmtId="165" applyNumberFormat="1" borderId="1" applyBorder="1" fontId="3" applyFont="1" fillId="0" applyAlignment="1">
      <alignment horizontal="center"/>
    </xf>
    <xf xfId="0" numFmtId="165" applyNumberFormat="1" borderId="1" applyBorder="1" fontId="2" applyFont="1" fillId="0" applyAlignment="1">
      <alignment horizontal="center"/>
    </xf>
    <xf xfId="0" numFmtId="46" applyNumberFormat="1" borderId="1" applyBorder="1" fontId="3" applyFont="1" fillId="2" applyFill="1" applyAlignment="1">
      <alignment horizontal="center"/>
    </xf>
    <xf xfId="0" numFmtId="3" applyNumberFormat="1" borderId="1" applyBorder="1" fontId="2" applyFont="1" fillId="2" applyFill="1" applyAlignment="1">
      <alignment horizontal="center"/>
    </xf>
    <xf xfId="0" numFmtId="0" borderId="1" applyBorder="1" fontId="2" applyFont="1" fillId="2" applyFill="1" applyAlignment="1">
      <alignment horizontal="center"/>
    </xf>
    <xf xfId="0" numFmtId="46" applyNumberFormat="1" borderId="1" applyBorder="1" fontId="2" applyFont="1" fillId="2" applyFill="1" applyAlignment="1">
      <alignment horizontal="center"/>
    </xf>
    <xf xfId="0" numFmtId="0" borderId="1" applyBorder="1" fontId="2" applyFont="1" fillId="0" applyAlignment="1">
      <alignment horizontal="center"/>
    </xf>
    <xf xfId="0" numFmtId="164" applyNumberFormat="1" borderId="1" applyBorder="1" fontId="2" applyFont="1" fillId="0" applyAlignment="1">
      <alignment horizontal="center"/>
    </xf>
    <xf xfId="0" numFmtId="164" applyNumberFormat="1" borderId="1" applyBorder="1" fontId="3" applyFont="1" fillId="0" applyAlignment="1">
      <alignment horizontal="center"/>
    </xf>
    <xf xfId="0" numFmtId="46" applyNumberFormat="1" borderId="2" applyBorder="1" fontId="3" applyFont="1" fillId="0" applyAlignment="1">
      <alignment horizontal="center"/>
    </xf>
    <xf xfId="0" numFmtId="3" applyNumberFormat="1" borderId="2" applyBorder="1" fontId="2" applyFont="1" fillId="0" applyAlignment="1">
      <alignment horizontal="center"/>
    </xf>
    <xf xfId="0" numFmtId="0" borderId="2" applyBorder="1" fontId="2" applyFont="1" fillId="0" applyAlignment="1">
      <alignment horizontal="center"/>
    </xf>
    <xf xfId="0" numFmtId="46" applyNumberFormat="1" borderId="2" applyBorder="1" fontId="2" applyFont="1" fillId="0" applyAlignment="1">
      <alignment horizontal="center"/>
    </xf>
    <xf xfId="0" numFmtId="0" borderId="0" fontId="0" fillId="0" applyAlignment="1">
      <alignment horizontal="general"/>
    </xf>
    <xf xfId="0" numFmtId="165" applyNumberFormat="1" borderId="2" applyBorder="1" fontId="4" applyFont="1" fillId="0" applyAlignment="1">
      <alignment horizontal="left"/>
    </xf>
    <xf xfId="0" numFmtId="46" applyNumberFormat="1" borderId="2" applyBorder="1" fontId="4" applyFont="1" fillId="0" applyAlignment="1">
      <alignment horizontal="left"/>
    </xf>
    <xf xfId="0" numFmtId="3" applyNumberFormat="1" borderId="2" applyBorder="1" fontId="4" applyFont="1" fillId="0" applyAlignment="1">
      <alignment horizontal="right"/>
    </xf>
    <xf xfId="0" numFmtId="14" applyNumberFormat="1" borderId="0" fontId="0" fillId="0" applyAlignment="1">
      <alignment horizontal="left"/>
    </xf>
    <xf xfId="0" numFmtId="0" borderId="0" fontId="0" fillId="0" applyAlignment="1">
      <alignment horizontal="general"/>
    </xf>
    <xf xfId="0" numFmtId="164" applyNumberFormat="1" borderId="0" fontId="0" fillId="0" applyAlignment="1">
      <alignment horizontal="general"/>
    </xf>
    <xf xfId="0" numFmtId="164" applyNumberFormat="1" borderId="0" fontId="0" fillId="0" applyAlignment="1">
      <alignment horizontal="center"/>
    </xf>
    <xf xfId="0" numFmtId="46" applyNumberFormat="1" borderId="0" fontId="0" fillId="0" applyAlignment="1">
      <alignment horizontal="general"/>
    </xf>
    <xf xfId="0" numFmtId="14" applyNumberFormat="1" borderId="2" applyBorder="1" fontId="4" applyFont="1" fillId="0" applyAlignment="1">
      <alignment horizontal="left"/>
    </xf>
    <xf xfId="0" numFmtId="0" borderId="0" fontId="0" fillId="0" applyAlignment="1">
      <alignment horizontal="general"/>
    </xf>
    <xf xfId="0" numFmtId="0" borderId="2" applyBorder="1" fontId="5" applyFont="1" fillId="0" applyAlignment="1">
      <alignment horizontal="left"/>
    </xf>
    <xf xfId="0" numFmtId="0" borderId="3" applyBorder="1" fontId="5" applyFont="1" fillId="3" applyFill="1" applyAlignment="1">
      <alignment horizontal="left"/>
    </xf>
    <xf xfId="0" numFmtId="0" borderId="3" applyBorder="1" fontId="5" applyFont="1" fillId="3" applyFill="1" applyAlignment="1">
      <alignment horizontal="left" wrapText="1"/>
    </xf>
    <xf xfId="0" numFmtId="20" applyNumberFormat="1" borderId="2" applyBorder="1" fontId="4" applyFont="1" fillId="0" applyAlignment="1">
      <alignment horizontal="left"/>
    </xf>
    <xf xfId="0" numFmtId="4" applyNumberFormat="1" borderId="2" applyBorder="1" fontId="4" applyFont="1" fillId="0" applyAlignment="1">
      <alignment horizontal="left"/>
    </xf>
    <xf xfId="0" numFmtId="4" applyNumberFormat="1" borderId="2" applyBorder="1" fontId="4" applyFont="1" fillId="0" applyAlignment="1">
      <alignment horizontal="right"/>
    </xf>
    <xf xfId="0" numFmtId="1" applyNumberFormat="1" borderId="2" applyBorder="1" fontId="4" applyFont="1" fillId="0" applyAlignment="1">
      <alignment horizontal="center"/>
    </xf>
    <xf xfId="0" numFmtId="3" applyNumberFormat="1" borderId="2" applyBorder="1" fontId="4" applyFont="1" fillId="0" applyAlignment="1">
      <alignment horizontal="center"/>
    </xf>
    <xf xfId="0" numFmtId="46" applyNumberFormat="1" borderId="2" applyBorder="1" fontId="4" applyFont="1" fillId="0" applyAlignment="1">
      <alignment horizontal="center"/>
    </xf>
    <xf xfId="0" numFmtId="0" borderId="2" applyBorder="1" fontId="4" applyFont="1" fillId="0" applyAlignment="1">
      <alignment horizontal="center"/>
    </xf>
    <xf xfId="0" numFmtId="0" borderId="2" applyBorder="1" fontId="6" applyFont="1" fillId="0" applyAlignment="1">
      <alignment horizontal="left"/>
    </xf>
    <xf xfId="0" numFmtId="14" applyNumberFormat="1" borderId="2" applyBorder="1" fontId="6" applyFont="1" fillId="0" applyAlignment="1">
      <alignment horizontal="left"/>
    </xf>
    <xf xfId="0" numFmtId="1" applyNumberFormat="1" borderId="2" applyBorder="1" fontId="1" applyFont="1" fillId="0" applyAlignment="1">
      <alignment horizontal="center"/>
    </xf>
    <xf xfId="0" numFmtId="3" applyNumberFormat="1" borderId="2" applyBorder="1" fontId="1" applyFont="1" fillId="0" applyAlignment="1">
      <alignment horizontal="center"/>
    </xf>
    <xf xfId="0" numFmtId="46" applyNumberFormat="1" borderId="2" applyBorder="1" fontId="1" applyFont="1" fillId="0" applyAlignment="1">
      <alignment horizontal="center"/>
    </xf>
    <xf xfId="0" numFmtId="166" applyNumberFormat="1" borderId="2" applyBorder="1" fontId="2" applyFont="1" fillId="0" applyAlignment="1">
      <alignment horizontal="center"/>
    </xf>
    <xf xfId="0" numFmtId="0" borderId="2" applyBorder="1" fontId="1" applyFont="1" fillId="0" applyAlignment="1">
      <alignment horizontal="center"/>
    </xf>
    <xf xfId="0" numFmtId="167" applyNumberFormat="1" borderId="2" applyBorder="1" fontId="3" applyFont="1" fillId="0" applyAlignment="1">
      <alignment horizontal="center"/>
    </xf>
    <xf xfId="0" numFmtId="3" applyNumberFormat="1" borderId="2" applyBorder="1" fontId="3" applyFont="1" fillId="0" applyAlignment="1">
      <alignment horizontal="center"/>
    </xf>
    <xf xfId="0" numFmtId="0" borderId="2" applyBorder="1" fontId="2" applyFont="1" fillId="0" applyAlignment="1">
      <alignment horizontal="center"/>
    </xf>
    <xf xfId="0" numFmtId="3" applyNumberFormat="1" borderId="2" applyBorder="1" fontId="2" applyFont="1" fillId="0" applyAlignment="1">
      <alignment horizontal="right"/>
    </xf>
    <xf xfId="0" numFmtId="20" applyNumberFormat="1" borderId="2" applyBorder="1" fontId="2" applyFont="1" fillId="0" applyAlignment="1">
      <alignment horizontal="left"/>
    </xf>
    <xf xfId="0" numFmtId="4" applyNumberFormat="1" borderId="2" applyBorder="1" fontId="2" applyFont="1" fillId="0" applyAlignment="1">
      <alignment horizontal="right"/>
    </xf>
    <xf xfId="0" numFmtId="1" applyNumberFormat="1" borderId="2" applyBorder="1" fontId="2" applyFont="1" fillId="0" applyAlignment="1">
      <alignment horizontal="center"/>
    </xf>
    <xf xfId="0" numFmtId="3" applyNumberFormat="1" borderId="0" fontId="0" fillId="0" applyAlignment="1">
      <alignment horizontal="general"/>
    </xf>
    <xf xfId="0" numFmtId="20" applyNumberFormat="1" borderId="0" fontId="0" fillId="0" applyAlignment="1">
      <alignment horizontal="general"/>
    </xf>
    <xf xfId="0" numFmtId="4" applyNumberFormat="1" borderId="0" fontId="0" fillId="0" applyAlignment="1">
      <alignment horizontal="general"/>
    </xf>
    <xf xfId="0" numFmtId="14" applyNumberFormat="1" borderId="0" fontId="0" fillId="0" applyAlignment="1">
      <alignment horizontal="general"/>
    </xf>
    <xf xfId="0" numFmtId="1" applyNumberFormat="1" borderId="0" fontId="0" fillId="0" applyAlignment="1">
      <alignment horizontal="center"/>
    </xf>
    <xf xfId="0" numFmtId="3" applyNumberFormat="1" borderId="0" fontId="0" fillId="0" applyAlignment="1">
      <alignment horizontal="center"/>
    </xf>
    <xf xfId="0" numFmtId="46" applyNumberFormat="1" borderId="0" fontId="0" fillId="0" applyAlignment="1">
      <alignment horizontal="center"/>
    </xf>
    <xf xfId="0" numFmtId="0" borderId="0" fontId="0" fillId="0" applyAlignment="1">
      <alignment horizontal="center"/>
    </xf>
  </cellXfs>
  <cellStyles count="1">
    <cellStyle xfId="0" builtinId="0" name="Normal"/>
  </cellStyles>
  <dxfs count="0"/>
  <tableStyles count="0" defaultTableStyle="TableStyleMedium9" defaultPivotStyle="PivotStyleLight16"/>
  <extLst>
    <ext uri="{EB79DEF2-80B8-43e5-95BD-54CBDDF9020C}">
      <x14ac:slicerStyles xmlns:x14="http://schemas.microsoft.com/office/spreadsheetml/2009/9/main" defaultSlicerStyle="SlicerStyleLight1"/>
    </ext>
  </extLst>
</styleSheet>
</file>

<file path=xl/_rels/workbook.xml.rels><?xml version="1.0" encoding="UTF-8" standalone="yes"?><Relationships xmlns="http://schemas.openxmlformats.org/package/2006/relationships"><Relationship Target="worksheets/sheet1.xml" Type="http://schemas.openxmlformats.org/officeDocument/2006/relationships/worksheet" Id="rId1"/><Relationship Target="worksheets/sheet2.xml" Type="http://schemas.openxmlformats.org/officeDocument/2006/relationships/worksheet" Id="rId2"/><Relationship Target="worksheets/sheet3.xml" Type="http://schemas.openxmlformats.org/officeDocument/2006/relationships/worksheet" Id="rId3"/><Relationship Target="sharedStrings.xml" Type="http://schemas.openxmlformats.org/officeDocument/2006/relationships/sharedStrings" Id="rId4"/><Relationship Target="styles.xml" Type="http://schemas.openxmlformats.org/officeDocument/2006/relationships/styles" Id="rId5"/><Relationship Target="theme/theme1.xml" Type="http://schemas.openxmlformats.org/officeDocument/2006/relationships/theme" Id="rId6"/><Relationship Target="vbaProject.bin" Type="http://schemas.microsoft.com/office/2006/relationships/vbaProject" Id="rId7"/></Relationships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typeface="ＭＳ Ｐゴシック" script="Jpan"/>
        <a:font typeface="맑은 고딕" script="Hang"/>
        <a:font typeface="宋体" script="Hans"/>
        <a:font typeface="新細明體" script="Hant"/>
        <a:font typeface="Times New Roman" script="Arab"/>
        <a:font typeface="Times New Roman" script="Hebr"/>
        <a:font typeface="Tahoma" script="Thai"/>
        <a:font typeface="Nyala" script="Ethi"/>
        <a:font typeface="Vrinda" script="Beng"/>
        <a:font typeface="Shruti" script="Gujr"/>
        <a:font typeface="MoolBoran" script="Khmr"/>
        <a:font typeface="Tunga" script="Knda"/>
        <a:font typeface="Raavi" script="Guru"/>
        <a:font typeface="Euphemia" script="Cans"/>
        <a:font typeface="Plantagenet Cherokee" script="Cher"/>
        <a:font typeface="Microsoft Yi Baiti" script="Yiii"/>
        <a:font typeface="Microsoft Himalaya" script="Tibt"/>
        <a:font typeface="MV Boli" script="Thaa"/>
        <a:font typeface="Mangal" script="Deva"/>
        <a:font typeface="Gautami" script="Telu"/>
        <a:font typeface="Latha" script="Taml"/>
        <a:font typeface="Estrangelo Edessa" script="Syrc"/>
        <a:font typeface="Kalinga" script="Orya"/>
        <a:font typeface="Kartika" script="Mlym"/>
        <a:font typeface="DokChampa" script="Laoo"/>
        <a:font typeface="Iskoola Pota" script="Sinh"/>
        <a:font typeface="Mongolian Baiti" script="Mong"/>
        <a:font typeface="Times New Roman" script="Viet"/>
        <a:font typeface="Microsoft Uighur" script="Uigh"/>
        <a:font typeface="Sylfaen" script="Geor"/>
      </a:majorFont>
      <a:minorFont>
        <a:latin typeface="Calibri"/>
        <a:ea typeface=""/>
        <a:cs typeface=""/>
        <a:font typeface="ＭＳ Ｐゴシック" script="Jpan"/>
        <a:font typeface="맑은 고딕" script="Hang"/>
        <a:font typeface="宋体" script="Hans"/>
        <a:font typeface="新細明體" script="Hant"/>
        <a:font typeface="Arial" script="Arab"/>
        <a:font typeface="Arial" script="Hebr"/>
        <a:font typeface="Tahoma" script="Thai"/>
        <a:font typeface="Nyala" script="Ethi"/>
        <a:font typeface="Vrinda" script="Beng"/>
        <a:font typeface="Shruti" script="Gujr"/>
        <a:font typeface="DaunPenh" script="Khmr"/>
        <a:font typeface="Tunga" script="Knda"/>
        <a:font typeface="Raavi" script="Guru"/>
        <a:font typeface="Euphemia" script="Cans"/>
        <a:font typeface="Plantagenet Cherokee" script="Cher"/>
        <a:font typeface="Microsoft Yi Baiti" script="Yiii"/>
        <a:font typeface="Microsoft Himalaya" script="Tibt"/>
        <a:font typeface="MV Boli" script="Thaa"/>
        <a:font typeface="Mangal" script="Deva"/>
        <a:font typeface="Gautami" script="Telu"/>
        <a:font typeface="Latha" script="Taml"/>
        <a:font typeface="Estrangelo Edessa" script="Syrc"/>
        <a:font typeface="Kalinga" script="Orya"/>
        <a:font typeface="Kartika" script="Mlym"/>
        <a:font typeface="DokChampa" script="Laoo"/>
        <a:font typeface="Iskoola Pota" script="Sinh"/>
        <a:font typeface="Mongolian Baiti" script="Mong"/>
        <a:font typeface="Arial" script="Viet"/>
        <a:font typeface="Microsoft Uighur" script="Uigh"/>
        <a:font typeface="Sylfaen" script="Geo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satMod val="350000"/>
              </a:schemeClr>
            </a:gs>
          </a:gsLst>
          <a:lin scaled="1" ang="16200000"/>
        </a:gradFill>
        <a:gradFill rotWithShape="1">
          <a:gsLst>
            <a:gs pos="0">
              <a:schemeClr val="phClr">
                <a:tint val="51000"/>
                <a:satMod val="130000"/>
              </a:schemeClr>
            </a:gs>
            <a:gs pos="80000">
              <a:schemeClr val="phClr">
                <a:tint val="15000"/>
                <a:satMod val="130000"/>
              </a:schemeClr>
            </a:gs>
            <a:gs pos="100000">
              <a:schemeClr val="phClr">
                <a:tint val="94000"/>
                <a:satMod val="135000"/>
              </a:schemeClr>
            </a:gs>
          </a:gsLst>
          <a:lin scaled="1" ang="16200000"/>
        </a:gradFill>
      </a:fillStyleLst>
      <a:lnStyleLst>
        <a:ln algn="ctr" cmpd="sng" cap="flat" w="9525">
          <a:solidFill>
            <a:schemeClr val="phClr">
              <a:shade val="9500"/>
              <a:satMod val="105000"/>
            </a:schemeClr>
          </a:solidFill>
          <a:prstDash val="solid"/>
        </a:ln>
        <a:ln algn="ctr" cmpd="sng" cap="flat" w="25400">
          <a:solidFill>
            <a:schemeClr val="phClr"/>
          </a:solidFill>
          <a:prstDash val="solid"/>
        </a:ln>
        <a:ln algn="ctr" cmpd="sng" cap="flat" w="38100">
          <a:solidFill>
            <a:schemeClr val="phClr"/>
          </a:solidFill>
          <a:prstDash val="solid"/>
        </a:ln>
      </a:lnStyleLst>
      <a:effectStyleLst>
        <a:effectStyle>
          <a:effectLst>
            <a:outerShdw dir="5400000" rotWithShape="0" dist="23000" blurRad="40000">
              <a:srgbClr val="000000">
                <a:alpha val="38000"/>
              </a:srgbClr>
            </a:outerShdw>
          </a:effectLst>
        </a:effectStyle>
        <a:effectStyle>
          <a:effectLst>
            <a:outerShdw dir="5400000" rotWithShape="0" dist="23000" blurRad="40000">
              <a:srgbClr val="000000">
                <a:alpha val="35000"/>
              </a:srgbClr>
            </a:outerShdw>
          </a:effectLst>
        </a:effectStyle>
        <a:effectStyle>
          <a:effectLst>
            <a:outerShdw dir="5400000" rotWithShape="0" dist="23000" blurRad="40000">
              <a:srgbClr val="000000">
                <a:alpha val="35000"/>
              </a:srgbClr>
            </a:outerShdw>
          </a:effectLst>
          <a:scene3d>
            <a:camera prst="orthographicFront">
              <a:rot rev="0" lon="0" lat="0"/>
            </a:camera>
            <a:lightRig dir="t" rig="threePt">
              <a:rot rev="1200000" lon="0" lat="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tint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satMod val="300000"/>
              </a:schemeClr>
            </a:gs>
            <a:gs pos="100000">
              <a:schemeClr val="phClr">
                <a:tint val="8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A1:W284"/>
  <sheetViews>
    <sheetView workbookViewId="0"/>
  </sheetViews>
  <sheetFormatPr defaultRowHeight="15" x14ac:dyDescent="0.25"/>
  <cols>
    <col min="1" max="1" style="26" width="12.43357142857143" customWidth="1" bestFit="1"/>
    <col min="2" max="2" style="56" width="12.43357142857143" customWidth="1" bestFit="1"/>
    <col min="3" max="3" style="57" width="12.43357142857143" customWidth="1" bestFit="1"/>
    <col min="4" max="4" style="57" width="12.43357142857143" customWidth="1" bestFit="1"/>
    <col min="5" max="5" style="58" width="12.43357142857143" customWidth="1" bestFit="1"/>
    <col min="6" max="6" style="58" width="12.43357142857143" customWidth="1" bestFit="1"/>
    <col min="7" max="7" style="26" width="12.43357142857143" customWidth="1" bestFit="1"/>
    <col min="8" max="8" style="26" width="12.43357142857143" customWidth="1" bestFit="1"/>
    <col min="9" max="9" style="26" width="11.147857142857141" customWidth="1" bestFit="1"/>
    <col min="10" max="10" style="59" width="10.862142857142858" customWidth="1" bestFit="1"/>
    <col min="11" max="11" style="26" width="8.862142857142858" customWidth="1" bestFit="1"/>
    <col min="12" max="12" style="60" width="13.719285714285713" customWidth="1" bestFit="1"/>
    <col min="13" max="13" style="61" width="9.005" customWidth="1" bestFit="1"/>
    <col min="14" max="14" style="62" width="8.862142857142858" customWidth="1" bestFit="1"/>
    <col min="15" max="15" style="62" width="9.290714285714287" customWidth="1" bestFit="1"/>
    <col min="16" max="16" style="62" width="12.576428571428572" customWidth="1" bestFit="1"/>
    <col min="17" max="17" style="62" width="9.005" customWidth="1" bestFit="1"/>
    <col min="18" max="18" style="62" width="20.005" customWidth="1" bestFit="1"/>
    <col min="19" max="19" style="62" width="13.862142857142858" customWidth="1" bestFit="1"/>
    <col min="20" max="20" style="62" width="10.005" customWidth="1" bestFit="1"/>
    <col min="21" max="21" style="61" width="13.719285714285713" customWidth="1" bestFit="1"/>
    <col min="22" max="22" style="63" width="14.719285714285713" customWidth="1" bestFit="1"/>
    <col min="23" max="23" style="62" width="13.43357142857143" customWidth="1" bestFit="1"/>
  </cols>
  <sheetData>
    <row x14ac:dyDescent="0.25" r="1" customHeight="1" ht="17.25">
      <c r="A1" s="21"/>
      <c r="B1" s="24"/>
      <c r="C1" s="35"/>
      <c r="D1" s="35"/>
      <c r="E1" s="36" t="s">
        <v>36</v>
      </c>
      <c r="F1" s="37"/>
      <c r="G1" s="21"/>
      <c r="H1" s="21"/>
      <c r="I1" s="21"/>
      <c r="J1" s="30"/>
      <c r="K1" s="21"/>
      <c r="L1" s="38"/>
      <c r="M1" s="39"/>
      <c r="N1" s="40"/>
      <c r="O1" s="40"/>
      <c r="P1" s="40"/>
      <c r="Q1" s="40"/>
      <c r="R1" s="40"/>
      <c r="S1" s="40"/>
      <c r="T1" s="40"/>
      <c r="U1" s="39"/>
      <c r="V1" s="41"/>
      <c r="W1" s="40"/>
    </row>
    <row x14ac:dyDescent="0.25" r="2" customHeight="1" ht="17.25">
      <c r="A2" s="21" t="s">
        <v>37</v>
      </c>
      <c r="B2" s="24"/>
      <c r="C2" s="35"/>
      <c r="D2" s="35" t="s">
        <v>38</v>
      </c>
      <c r="E2" s="37"/>
      <c r="F2" s="37"/>
      <c r="G2" s="21"/>
      <c r="H2" s="21"/>
      <c r="I2" s="42">
        <f>LEFT(D2,FIND("-",D2)-1)</f>
      </c>
      <c r="J2" s="43">
        <f>IFERROR(DATE((LEFT(I2,4)),MID(I2,5,2),RIGHT(I2,2)),"")</f>
        <v>25569.1875</v>
      </c>
      <c r="K2" s="21"/>
      <c r="L2" s="44" t="s">
        <v>39</v>
      </c>
      <c r="M2" s="45">
        <f>LEFT(D3,R2)</f>
      </c>
      <c r="N2" s="46" t="s">
        <v>40</v>
      </c>
      <c r="O2" s="46">
        <f>MID(D3,R2,U2-R2)</f>
        <v>25569.1875</v>
      </c>
      <c r="P2" s="46" t="s">
        <v>41</v>
      </c>
      <c r="Q2" s="47">
        <v>10.333333333333334</v>
      </c>
      <c r="R2" s="45">
        <f>FIND(" ",D3)</f>
      </c>
      <c r="S2" s="46"/>
      <c r="T2" s="46"/>
      <c r="U2" s="45">
        <f>FIND(" ",D3,(FIND(" ",D3)+1))</f>
      </c>
      <c r="V2" s="48"/>
      <c r="W2" s="46"/>
    </row>
    <row x14ac:dyDescent="0.25" r="3" customHeight="1" ht="17.25">
      <c r="A3" s="21" t="s">
        <v>42</v>
      </c>
      <c r="B3" s="24"/>
      <c r="C3" s="35"/>
      <c r="D3" s="35" t="s">
        <v>43</v>
      </c>
      <c r="E3" s="37"/>
      <c r="F3" s="37"/>
      <c r="G3" s="21"/>
      <c r="H3" s="21"/>
      <c r="I3" s="42">
        <f>RIGHT(D2,FIND("-",D2)-1)</f>
      </c>
      <c r="J3" s="43">
        <f>IFERROR(DATE((LEFT(I3,4)),MID(I3,5,2),RIGHT(I3,2)),"")</f>
        <v>25569.1875</v>
      </c>
      <c r="K3" s="21"/>
      <c r="L3" s="44" t="s">
        <v>0</v>
      </c>
      <c r="M3" s="45" t="s">
        <v>1</v>
      </c>
      <c r="N3" s="46" t="s">
        <v>2</v>
      </c>
      <c r="O3" s="46" t="s">
        <v>3</v>
      </c>
      <c r="P3" s="46" t="s">
        <v>4</v>
      </c>
      <c r="Q3" s="46" t="s">
        <v>5</v>
      </c>
      <c r="R3" s="46" t="s">
        <v>6</v>
      </c>
      <c r="S3" s="46" t="s">
        <v>7</v>
      </c>
      <c r="T3" s="46" t="s">
        <v>8</v>
      </c>
      <c r="U3" s="45" t="s">
        <v>9</v>
      </c>
      <c r="V3" s="48" t="s">
        <v>10</v>
      </c>
      <c r="W3" s="46" t="s">
        <v>11</v>
      </c>
    </row>
    <row x14ac:dyDescent="0.25" r="4" customHeight="1" ht="17.25">
      <c r="A4" s="21" t="s">
        <v>0</v>
      </c>
      <c r="B4" s="24"/>
      <c r="C4" s="35" t="s">
        <v>44</v>
      </c>
      <c r="D4" s="35" t="s">
        <v>45</v>
      </c>
      <c r="E4" s="36" t="s">
        <v>46</v>
      </c>
      <c r="F4" s="36" t="s">
        <v>47</v>
      </c>
      <c r="G4" s="21" t="s">
        <v>48</v>
      </c>
      <c r="H4" s="21"/>
      <c r="I4" s="21"/>
      <c r="J4" s="30"/>
      <c r="K4" s="21"/>
      <c r="L4" s="49"/>
      <c r="M4" s="50"/>
      <c r="N4" s="17"/>
      <c r="O4" s="17"/>
      <c r="P4" s="17"/>
      <c r="Q4" s="17"/>
      <c r="R4" s="17"/>
      <c r="S4" s="17"/>
      <c r="T4" s="17"/>
      <c r="U4" s="18"/>
      <c r="V4" s="51"/>
      <c r="W4" s="20">
        <f>IFERROR($Q$2-S4,"")</f>
        <v>25569.1875</v>
      </c>
    </row>
    <row x14ac:dyDescent="0.25" r="5" customHeight="1" ht="17.25">
      <c r="A5" s="21" t="s">
        <v>18</v>
      </c>
      <c r="B5" s="52">
        <v>20250127</v>
      </c>
      <c r="C5" s="53">
        <v>2.384722222222222</v>
      </c>
      <c r="D5" s="53">
        <v>2.5590277777777777</v>
      </c>
      <c r="E5" s="54">
        <v>4.18</v>
      </c>
      <c r="F5" s="54">
        <v>4.18</v>
      </c>
      <c r="G5" s="21"/>
      <c r="H5" s="21"/>
      <c r="I5" s="21"/>
      <c r="J5" s="43">
        <f>IFERROR(DATE((LEFT(B5,4)),MID(B5,5,2),RIGHT(B5,2)),"")</f>
        <v>25569.1875</v>
      </c>
      <c r="K5" s="21"/>
      <c r="L5" s="49">
        <f>J5</f>
        <v>25569.1875</v>
      </c>
      <c r="M5" s="50">
        <f>A5</f>
      </c>
      <c r="N5" s="17">
        <f>IF(C5="",IF(U5="",C5,""),C5)</f>
        <v>25569.1875</v>
      </c>
      <c r="O5" s="17">
        <f>IF(D5="",IF(U5="",D5,""),D5)</f>
        <v>25569.1875</v>
      </c>
      <c r="P5" s="17">
        <f>IFERROR(IF(N5&gt;O5,G5,O5-N5),"")</f>
        <v>25569.1875</v>
      </c>
      <c r="Q5" s="17">
        <f>IF(U5="",TIME(0,30,0),"")</f>
        <v>25569.1875</v>
      </c>
      <c r="R5" s="17">
        <f>IFERROR(IF((P5-Q5)&lt;0,"ATTENTION",P5-Q5),"")</f>
        <v>25569.1875</v>
      </c>
      <c r="S5" s="17">
        <f>TIME(8,0,0)</f>
        <v>25569.1875</v>
      </c>
      <c r="T5" s="17">
        <f>IFERROR(IF(S5&gt;R5,S5-R5,R5-S5),"")</f>
        <v>25569.1875</v>
      </c>
      <c r="U5" s="18">
        <f>IFERROR(VLOOKUP(L5,Calendar!$A$2:$C$261,3,0),"")</f>
      </c>
      <c r="V5" s="19">
        <f>IF(AND(LEN(C5)&gt;0,LEN(D5)=0),"NO CHECK-OUT","")</f>
      </c>
      <c r="W5" s="20">
        <f>IFERROR(IF(R5="",W4,IF(R5="ATTENTION",W4-S5,IF(S5&gt;R5,W4-T5,W4+T5))),"")</f>
        <v>25569.1875</v>
      </c>
    </row>
    <row x14ac:dyDescent="0.25" r="6" customHeight="1" ht="17.25">
      <c r="A6" s="21" t="s">
        <v>19</v>
      </c>
      <c r="B6" s="52">
        <v>20250128</v>
      </c>
      <c r="C6" s="35"/>
      <c r="D6" s="35"/>
      <c r="E6" s="37"/>
      <c r="F6" s="37"/>
      <c r="G6" s="21"/>
      <c r="H6" s="21"/>
      <c r="I6" s="21"/>
      <c r="J6" s="43">
        <f>IFERROR(DATE((LEFT(B6,4)),MID(B6,5,2),RIGHT(B6,2)),"")</f>
        <v>25569.1875</v>
      </c>
      <c r="K6" s="21"/>
      <c r="L6" s="49">
        <f>IF(A6="Total Hours","",IF(J6="",L5,J6))</f>
        <v>25569.1875</v>
      </c>
      <c r="M6" s="50">
        <f>A6</f>
      </c>
      <c r="N6" s="17">
        <f>IF(C6="",IF(U6="",C6,""),C6)</f>
        <v>25569.1875</v>
      </c>
      <c r="O6" s="17">
        <f>IF(D6="",IF(U6="",D6,""),D6)</f>
        <v>25569.1875</v>
      </c>
      <c r="P6" s="17">
        <f>IFERROR(IF(N6&gt;O6,G6,O6-N6),"")</f>
        <v>25569.1875</v>
      </c>
      <c r="Q6" s="17">
        <f>IF(U6="",TIME(0,30,0),"")</f>
        <v>25569.1875</v>
      </c>
      <c r="R6" s="17">
        <f>IFERROR(IF(OR(IFERROR((P6-Q6)&lt;0,""),P6="Missing OUT"),"ATTENTION",P6-Q6),"")</f>
        <v>25569.1875</v>
      </c>
      <c r="S6" s="17">
        <f>TIME(8,0,0)</f>
        <v>25569.1875</v>
      </c>
      <c r="T6" s="17">
        <f>IFERROR(IF(R6="ATTENTION",TIME(8,0,0),IF(S6&gt;R6,S6-R6,R6-S6)),"")</f>
        <v>25569.1875</v>
      </c>
      <c r="U6" s="18">
        <f>IFERROR(VLOOKUP(L6,Calendar!$A$2:$C$261,3,0),"")</f>
      </c>
      <c r="V6" s="19">
        <f>IF(AND(LEN(C6)&gt;0,LEN(D6)=0),"NO CHECK-OUT","")</f>
      </c>
      <c r="W6" s="20">
        <f>IFERROR(IF(R6="",W5,IF(R6="ATTENTION",W5-S6,IF(S6&gt;R6,W5-T6,W5+T6))),"")</f>
        <v>25569.1875</v>
      </c>
    </row>
    <row x14ac:dyDescent="0.25" r="7" customHeight="1" ht="17.25">
      <c r="A7" s="21" t="s">
        <v>12</v>
      </c>
      <c r="B7" s="52">
        <v>20250129</v>
      </c>
      <c r="C7" s="53">
        <v>2.386111111111111</v>
      </c>
      <c r="D7" s="53">
        <v>2.6215277777777777</v>
      </c>
      <c r="E7" s="54">
        <v>5.66</v>
      </c>
      <c r="F7" s="54">
        <v>5.66</v>
      </c>
      <c r="G7" s="21"/>
      <c r="H7" s="21"/>
      <c r="I7" s="21"/>
      <c r="J7" s="43">
        <f>IFERROR(DATE((LEFT(B7,4)),MID(B7,5,2),RIGHT(B7,2)),"")</f>
        <v>25569.1875</v>
      </c>
      <c r="K7" s="21"/>
      <c r="L7" s="49">
        <f>IF(A7="Total Hours","",IF(J7="",L6,J7))</f>
        <v>25569.1875</v>
      </c>
      <c r="M7" s="50">
        <f>A7</f>
      </c>
      <c r="N7" s="17">
        <f>IF(C7="",IF(U7="",C7,""),C7)</f>
        <v>25569.1875</v>
      </c>
      <c r="O7" s="17">
        <f>IF(D7="",IF(U7="",D7,""),D7)</f>
        <v>25569.1875</v>
      </c>
      <c r="P7" s="17">
        <f>IFERROR(IF(N7&gt;O7,G7,O7-N7),"")</f>
        <v>25569.1875</v>
      </c>
      <c r="Q7" s="17">
        <f>IF(U7="",TIME(0,30,0),"")</f>
        <v>25569.1875</v>
      </c>
      <c r="R7" s="17">
        <f>IFERROR(IF(OR(IFERROR((P7-Q7)&lt;0,""),P7="Missing OUT"),"ATTENTION",P7-Q7),"")</f>
        <v>25569.1875</v>
      </c>
      <c r="S7" s="17">
        <f>TIME(8,0,0)</f>
        <v>25569.1875</v>
      </c>
      <c r="T7" s="17">
        <f>IFERROR(IF(R7="ATTENTION",TIME(8,0,0),IF(S7&gt;R7,S7-R7,R7-S7)),"")</f>
        <v>25569.1875</v>
      </c>
      <c r="U7" s="18">
        <f>IFERROR(VLOOKUP(L7,Calendar!$A$2:$C$261,3,0),"")</f>
      </c>
      <c r="V7" s="19">
        <f>IF(AND(LEN(C7)&gt;0,LEN(D7)=0),"NO CHECK-OUT","")</f>
      </c>
      <c r="W7" s="20">
        <f>IFERROR(IF(R7="",W6,IF(R7="ATTENTION",W6-S7,IF(S7&gt;R7,W6-T7,W6+T7))),"")</f>
        <v>25569.1875</v>
      </c>
    </row>
    <row x14ac:dyDescent="0.25" r="8" customHeight="1" ht="17.25">
      <c r="A8" s="21" t="s">
        <v>13</v>
      </c>
      <c r="B8" s="52">
        <v>20250130</v>
      </c>
      <c r="C8" s="53">
        <v>2.3777777777777778</v>
      </c>
      <c r="D8" s="53">
        <v>2.5152777777777775</v>
      </c>
      <c r="E8" s="54">
        <v>3.3</v>
      </c>
      <c r="F8" s="54">
        <v>3.3</v>
      </c>
      <c r="G8" s="21"/>
      <c r="H8" s="21"/>
      <c r="I8" s="21"/>
      <c r="J8" s="43">
        <f>IFERROR(DATE((LEFT(B8,4)),MID(B8,5,2),RIGHT(B8,2)),"")</f>
        <v>25569.1875</v>
      </c>
      <c r="K8" s="21"/>
      <c r="L8" s="49">
        <f>IF(A8="Total Hours","",IF(J8="",L7,J8))</f>
        <v>25569.1875</v>
      </c>
      <c r="M8" s="50">
        <f>A8</f>
      </c>
      <c r="N8" s="17">
        <f>IF(C8="",IF(U8="",C8,""),C8)</f>
        <v>25569.1875</v>
      </c>
      <c r="O8" s="17">
        <f>IF(D8="",IF(U8="",D8,""),D8)</f>
        <v>25569.1875</v>
      </c>
      <c r="P8" s="17">
        <f>IFERROR(IF(N8&gt;O8,G8,O8-N8),"")</f>
        <v>25569.1875</v>
      </c>
      <c r="Q8" s="17">
        <f>IF(U8="",TIME(0,30,0),"")</f>
        <v>25569.1875</v>
      </c>
      <c r="R8" s="17">
        <f>IFERROR(IF(OR(IFERROR((P8-Q8)&lt;0,""),P8="Missing OUT"),"ATTENTION",P8-Q8),"")</f>
        <v>25569.1875</v>
      </c>
      <c r="S8" s="17">
        <f>TIME(8,0,0)</f>
        <v>25569.1875</v>
      </c>
      <c r="T8" s="17">
        <f>IFERROR(IF(R8="ATTENTION",TIME(8,0,0),IF(S8&gt;R8,S8-R8,R8-S8)),"")</f>
        <v>25569.1875</v>
      </c>
      <c r="U8" s="18">
        <f>IFERROR(VLOOKUP(L8,Calendar!$A$2:$C$261,3,0),"")</f>
      </c>
      <c r="V8" s="19">
        <f>IF(AND(LEN(C8)&gt;0,LEN(D8)=0),"NO CHECK-OUT","")</f>
      </c>
      <c r="W8" s="20">
        <f>IFERROR(IF(R8="",W7,IF(R8="ATTENTION",W7-S8,IF(S8&gt;R8,W7-T8,W7+T8))),"")</f>
        <v>25569.1875</v>
      </c>
    </row>
    <row x14ac:dyDescent="0.25" r="9" customHeight="1" ht="17.25">
      <c r="A9" s="21" t="s">
        <v>15</v>
      </c>
      <c r="B9" s="52">
        <v>20250131</v>
      </c>
      <c r="C9" s="35"/>
      <c r="D9" s="35"/>
      <c r="E9" s="37"/>
      <c r="F9" s="37"/>
      <c r="G9" s="21"/>
      <c r="H9" s="21"/>
      <c r="I9" s="21"/>
      <c r="J9" s="43">
        <f>IFERROR(DATE((LEFT(B9,4)),MID(B9,5,2),RIGHT(B9,2)),"")</f>
        <v>25569.1875</v>
      </c>
      <c r="K9" s="21"/>
      <c r="L9" s="49">
        <f>IF(A9="Total Hours","",IF(J9="",L8,J9))</f>
        <v>25569.1875</v>
      </c>
      <c r="M9" s="50">
        <f>A9</f>
      </c>
      <c r="N9" s="17">
        <f>IF(C9="",IF(U9="",C9,""),C9)</f>
        <v>25569.1875</v>
      </c>
      <c r="O9" s="17">
        <f>IF(D9="",IF(U9="",D9,""),D9)</f>
        <v>25569.1875</v>
      </c>
      <c r="P9" s="17">
        <f>IFERROR(IF(N9&gt;O9,G9,O9-N9),"")</f>
        <v>25569.1875</v>
      </c>
      <c r="Q9" s="17">
        <f>IF(U9="",TIME(0,30,0),"")</f>
        <v>25569.1875</v>
      </c>
      <c r="R9" s="17">
        <f>IFERROR(IF(OR(IFERROR((P9-Q9)&lt;0,""),P9="Missing OUT"),"ATTENTION",P9-Q9),"")</f>
        <v>25569.1875</v>
      </c>
      <c r="S9" s="17">
        <f>TIME(8,0,0)</f>
        <v>25569.1875</v>
      </c>
      <c r="T9" s="17">
        <f>IFERROR(IF(R9="ATTENTION",TIME(8,0,0),IF(S9&gt;R9,S9-R9,R9-S9)),"")</f>
        <v>25569.1875</v>
      </c>
      <c r="U9" s="18">
        <f>IFERROR(VLOOKUP(L9,Calendar!$A$2:$C$261,3,0),"")</f>
      </c>
      <c r="V9" s="19">
        <f>IF(AND(LEN(C9)&gt;0,LEN(D9)=0),"NO CHECK-OUT","")</f>
      </c>
      <c r="W9" s="20">
        <f>IFERROR(IF(R9="",W8,IF(R9="ATTENTION",W8-S9,IF(S9&gt;R9,W8-T9,W8+T9))),"")</f>
        <v>25569.1875</v>
      </c>
    </row>
    <row x14ac:dyDescent="0.25" r="10" customHeight="1" ht="17.25">
      <c r="A10" s="21" t="s">
        <v>16</v>
      </c>
      <c r="B10" s="52">
        <v>20250201</v>
      </c>
      <c r="C10" s="35"/>
      <c r="D10" s="35"/>
      <c r="E10" s="37"/>
      <c r="F10" s="37"/>
      <c r="G10" s="21"/>
      <c r="H10" s="21"/>
      <c r="I10" s="21"/>
      <c r="J10" s="43">
        <f>IFERROR(DATE((LEFT(B10,4)),MID(B10,5,2),RIGHT(B10,2)),"")</f>
        <v>25569.1875</v>
      </c>
      <c r="K10" s="21"/>
      <c r="L10" s="49">
        <f>IF(A10="Total Hours","",IF(J10="",L9,J10))</f>
        <v>25569.1875</v>
      </c>
      <c r="M10" s="50">
        <f>A10</f>
      </c>
      <c r="N10" s="17">
        <f>IF(C10="",IF(U10="",C10,""),C10)</f>
        <v>25569.1875</v>
      </c>
      <c r="O10" s="17">
        <f>IF(D10="",IF(U10="",D10,""),D10)</f>
        <v>25569.1875</v>
      </c>
      <c r="P10" s="17">
        <f>IFERROR(IF(N10&gt;O10,G10,O10-N10),"")</f>
        <v>25569.1875</v>
      </c>
      <c r="Q10" s="17">
        <f>IF(U10="",TIME(0,30,0),"")</f>
        <v>25569.1875</v>
      </c>
      <c r="R10" s="17">
        <f>IFERROR(IF(OR(IFERROR((P10-Q10)&lt;0,""),P10="Missing OUT"),"ATTENTION",P10-Q10),"")</f>
        <v>25569.1875</v>
      </c>
      <c r="S10" s="17">
        <f>TIME(8,0,0)</f>
        <v>25569.1875</v>
      </c>
      <c r="T10" s="17">
        <f>IFERROR(IF(R10="ATTENTION",TIME(8,0,0),IF(S10&gt;R10,S10-R10,R10-S10)),"")</f>
        <v>25569.1875</v>
      </c>
      <c r="U10" s="18">
        <f>IFERROR(VLOOKUP(L10,Calendar!$A$2:$C$261,3,0),"")</f>
      </c>
      <c r="V10" s="19">
        <f>IF(AND(LEN(C10)&gt;0,LEN(D10)=0),"NO CHECK-OUT","")</f>
      </c>
      <c r="W10" s="20">
        <f>IFERROR(IF(R10="",W9,IF(R10="ATTENTION",W9-S10,IF(S10&gt;R10,W9-T10,W9+T10))),"")</f>
        <v>25569.1875</v>
      </c>
    </row>
    <row x14ac:dyDescent="0.25" r="11" customHeight="1" ht="17.25">
      <c r="A11" s="21" t="s">
        <v>17</v>
      </c>
      <c r="B11" s="52">
        <v>20250202</v>
      </c>
      <c r="C11" s="35"/>
      <c r="D11" s="35"/>
      <c r="E11" s="37"/>
      <c r="F11" s="37"/>
      <c r="G11" s="21"/>
      <c r="H11" s="21"/>
      <c r="I11" s="21"/>
      <c r="J11" s="43">
        <f>IFERROR(DATE((LEFT(B11,4)),MID(B11,5,2),RIGHT(B11,2)),"")</f>
        <v>25569.1875</v>
      </c>
      <c r="K11" s="21"/>
      <c r="L11" s="49">
        <f>IF(A11="Total Hours","",IF(J11="",L10,J11))</f>
        <v>25569.1875</v>
      </c>
      <c r="M11" s="50">
        <f>A11</f>
      </c>
      <c r="N11" s="17">
        <f>IF(C11="",IF(U11="",C11,""),C11)</f>
        <v>25569.1875</v>
      </c>
      <c r="O11" s="17">
        <f>IF(D11="",IF(U11="",D11,""),D11)</f>
        <v>25569.1875</v>
      </c>
      <c r="P11" s="17">
        <f>IFERROR(IF(N11&gt;O11,G11,O11-N11),"")</f>
        <v>25569.1875</v>
      </c>
      <c r="Q11" s="17">
        <f>IF(U11="",TIME(0,30,0),"")</f>
        <v>25569.1875</v>
      </c>
      <c r="R11" s="17">
        <f>IFERROR(IF(OR(IFERROR((P11-Q11)&lt;0,""),P11="Missing OUT"),"ATTENTION",P11-Q11),"")</f>
        <v>25569.1875</v>
      </c>
      <c r="S11" s="17">
        <f>TIME(8,0,0)</f>
        <v>25569.1875</v>
      </c>
      <c r="T11" s="17">
        <f>IFERROR(IF(R11="ATTENTION",TIME(8,0,0),IF(S11&gt;R11,S11-R11,R11-S11)),"")</f>
        <v>25569.1875</v>
      </c>
      <c r="U11" s="18">
        <f>IFERROR(VLOOKUP(L11,Calendar!$A$2:$C$261,3,0),"")</f>
      </c>
      <c r="V11" s="19">
        <f>IF(AND(LEN(C11)&gt;0,LEN(D11)=0),"NO CHECK-OUT","")</f>
      </c>
      <c r="W11" s="20">
        <f>IFERROR(IF(R11="",W10,IF(R11="ATTENTION",W10-S11,IF(S11&gt;R11,W10-T11,W10+T11))),"")</f>
        <v>25569.1875</v>
      </c>
    </row>
    <row x14ac:dyDescent="0.25" r="12" customHeight="1" ht="17.25">
      <c r="A12" s="21" t="s">
        <v>49</v>
      </c>
      <c r="B12" s="24"/>
      <c r="C12" s="35"/>
      <c r="D12" s="35"/>
      <c r="E12" s="37"/>
      <c r="F12" s="54">
        <v>13.14</v>
      </c>
      <c r="G12" s="21"/>
      <c r="H12" s="21"/>
      <c r="I12" s="21"/>
      <c r="J12" s="43">
        <f>IFERROR(DATE((LEFT(B12,4)),MID(B12,5,2),RIGHT(B12,2)),"")</f>
        <v>25569.1875</v>
      </c>
      <c r="K12" s="21"/>
      <c r="L12" s="49">
        <f>IF(A12="Total Hours","",IF(J12="",L11,J12))</f>
        <v>25569.1875</v>
      </c>
      <c r="M12" s="50">
        <f>A12</f>
      </c>
      <c r="N12" s="17">
        <f>IF(C12="",IF(U12="",C12,""),C12)</f>
        <v>25569.1875</v>
      </c>
      <c r="O12" s="17">
        <f>IF(D12="",IF(U12="",D12,""),D12)</f>
        <v>25569.1875</v>
      </c>
      <c r="P12" s="17">
        <f>IFERROR(IF(N12&gt;O12,G12,O12-N12),"")</f>
        <v>25569.1875</v>
      </c>
      <c r="Q12" s="17">
        <f>IF(U12="",TIME(0,30,0),"")</f>
        <v>25569.1875</v>
      </c>
      <c r="R12" s="17">
        <f>IFERROR(IF(OR(IFERROR((P12-Q12)&lt;0,""),P12="Missing OUT"),"ATTENTION",P12-Q12),"")</f>
        <v>25569.1875</v>
      </c>
      <c r="S12" s="17">
        <f>TIME(8,0,0)</f>
        <v>25569.1875</v>
      </c>
      <c r="T12" s="17">
        <f>IFERROR(IF(R12="ATTENTION",TIME(8,0,0),IF(S12&gt;R12,S12-R12,R12-S12)),"")</f>
        <v>25569.1875</v>
      </c>
      <c r="U12" s="18">
        <f>IFERROR(VLOOKUP(L12,Calendar!$A$2:$C$261,3,0),"")</f>
      </c>
      <c r="V12" s="19">
        <f>IF(AND(LEN(C12)&gt;0,LEN(D12)=0),"NO CHECK-OUT","")</f>
      </c>
      <c r="W12" s="20">
        <f>IFERROR(IF(R12="",W11,IF(R12="ATTENTION",W11-S12,IF(S12&gt;R12,W11-T12,W11+T12))),"")</f>
        <v>25569.1875</v>
      </c>
    </row>
    <row x14ac:dyDescent="0.25" r="13" customHeight="1" ht="17.25">
      <c r="A13" s="21"/>
      <c r="B13" s="24"/>
      <c r="C13" s="53"/>
      <c r="D13" s="53"/>
      <c r="E13" s="37"/>
      <c r="F13" s="37"/>
      <c r="G13" s="21"/>
      <c r="H13" s="21"/>
      <c r="I13" s="21"/>
      <c r="J13" s="43">
        <f>IFERROR(DATE((LEFT(B13,4)),MID(B13,5,2),RIGHT(B13,2)),"")</f>
        <v>25569.1875</v>
      </c>
      <c r="K13" s="21"/>
      <c r="L13" s="49">
        <f>IF(A13="Total Hours","",IF(J13="",L12,J13))</f>
        <v>25569.1875</v>
      </c>
      <c r="M13" s="50">
        <f>A13</f>
      </c>
      <c r="N13" s="17">
        <f>IF(C13="",IF(U13="",C13,""),C13)</f>
        <v>25569.1875</v>
      </c>
      <c r="O13" s="17">
        <f>IF(D13="",IF(U13="",D13,""),D13)</f>
        <v>25569.1875</v>
      </c>
      <c r="P13" s="17">
        <f>IFERROR(IF(N13&gt;O13,G13,O13-N13),"")</f>
        <v>25569.1875</v>
      </c>
      <c r="Q13" s="17">
        <f>IF(U13="",TIME(0,30,0),"")</f>
        <v>25569.1875</v>
      </c>
      <c r="R13" s="17">
        <f>IFERROR(IF(OR(IFERROR((P13-Q13)&lt;0,""),P13="Missing OUT"),"ATTENTION",P13-Q13),"")</f>
        <v>25569.1875</v>
      </c>
      <c r="S13" s="17">
        <f>TIME(8,0,0)</f>
        <v>25569.1875</v>
      </c>
      <c r="T13" s="17">
        <f>IFERROR(IF(R13="ATTENTION",TIME(8,0,0),IF(S13&gt;R13,S13-R13,R13-S13)),"")</f>
        <v>25569.1875</v>
      </c>
      <c r="U13" s="18">
        <f>IFERROR(VLOOKUP(L13,Calendar!$A$2:$C$261,3,0),"")</f>
      </c>
      <c r="V13" s="19">
        <f>IF(AND(LEN(C13)&gt;0,LEN(D13)=0),"NO CHECK-OUT","")</f>
      </c>
      <c r="W13" s="20">
        <f>IFERROR(IF(R13="",W12,IF(R13="ATTENTION",W12-S13,IF(S13&gt;R13,W12-T13,W12+T13))),"")</f>
        <v>25569.1875</v>
      </c>
    </row>
    <row x14ac:dyDescent="0.25" r="14" customHeight="1" ht="17.25">
      <c r="A14" s="21"/>
      <c r="B14" s="24"/>
      <c r="C14" s="35"/>
      <c r="D14" s="35"/>
      <c r="E14" s="37"/>
      <c r="F14" s="37"/>
      <c r="G14" s="21"/>
      <c r="H14" s="21"/>
      <c r="I14" s="21"/>
      <c r="J14" s="43">
        <f>IFERROR(DATE((LEFT(B14,4)),MID(B14,5,2),RIGHT(B14,2)),"")</f>
        <v>25569.1875</v>
      </c>
      <c r="K14" s="21"/>
      <c r="L14" s="49">
        <f>IF(A14="Total Hours","",IF(J14="",L13,J14))</f>
        <v>25569.1875</v>
      </c>
      <c r="M14" s="50">
        <f>A14</f>
      </c>
      <c r="N14" s="17">
        <f>IF(C14="",IF(U14="",C14,""),C14)</f>
        <v>25569.1875</v>
      </c>
      <c r="O14" s="17">
        <f>IF(D14="",IF(U14="",D14,""),D14)</f>
        <v>25569.1875</v>
      </c>
      <c r="P14" s="17">
        <f>IFERROR(IF(N14&gt;O14,G14,O14-N14),"")</f>
        <v>25569.1875</v>
      </c>
      <c r="Q14" s="17">
        <f>IF(U14="",TIME(0,30,0),"")</f>
        <v>25569.1875</v>
      </c>
      <c r="R14" s="17">
        <f>IFERROR(IF(OR(IFERROR((P14-Q14)&lt;0,""),P14="Missing OUT"),"ATTENTION",P14-Q14),"")</f>
        <v>25569.1875</v>
      </c>
      <c r="S14" s="17">
        <f>TIME(8,0,0)</f>
        <v>25569.1875</v>
      </c>
      <c r="T14" s="17">
        <f>IFERROR(IF(R14="ATTENTION",TIME(8,0,0),IF(S14&gt;R14,S14-R14,R14-S14)),"")</f>
        <v>25569.1875</v>
      </c>
      <c r="U14" s="18">
        <f>IFERROR(VLOOKUP(L14,Calendar!$A$2:$C$261,3,0),"")</f>
      </c>
      <c r="V14" s="19">
        <f>IF(AND(LEN(C14)&gt;0,LEN(D14)=0),"NO CHECK-OUT","")</f>
      </c>
      <c r="W14" s="20">
        <f>IFERROR(IF(R14="",W13,IF(R14="ATTENTION",W13-S14,IF(S14&gt;R14,W13-T14,W13+T14))),"")</f>
        <v>25569.1875</v>
      </c>
    </row>
    <row x14ac:dyDescent="0.25" r="15" customHeight="1" ht="17.25">
      <c r="A15" s="21"/>
      <c r="B15" s="24"/>
      <c r="C15" s="35"/>
      <c r="D15" s="35"/>
      <c r="E15" s="37"/>
      <c r="F15" s="37"/>
      <c r="G15" s="21"/>
      <c r="H15" s="21"/>
      <c r="I15" s="21"/>
      <c r="J15" s="43">
        <f>IFERROR(DATE((LEFT(B15,4)),MID(B15,5,2),RIGHT(B15,2)),"")</f>
        <v>25569.1875</v>
      </c>
      <c r="K15" s="21"/>
      <c r="L15" s="49">
        <f>IF(A15="Total Hours","",IF(J15="",L14,J15))</f>
        <v>25569.1875</v>
      </c>
      <c r="M15" s="50">
        <f>A15</f>
      </c>
      <c r="N15" s="17">
        <f>IF(C15="",IF(U15="",C15,""),C15)</f>
        <v>25569.1875</v>
      </c>
      <c r="O15" s="17">
        <f>IF(D15="",IF(U15="",D15,""),D15)</f>
        <v>25569.1875</v>
      </c>
      <c r="P15" s="17">
        <f>IFERROR(IF(N15&gt;O15,G15,O15-N15),"")</f>
        <v>25569.1875</v>
      </c>
      <c r="Q15" s="17">
        <f>IF(U15="",TIME(0,30,0),"")</f>
        <v>25569.1875</v>
      </c>
      <c r="R15" s="17">
        <f>IFERROR(IF(OR(IFERROR((P15-Q15)&lt;0,""),P15="Missing OUT"),"ATTENTION",P15-Q15),"")</f>
        <v>25569.1875</v>
      </c>
      <c r="S15" s="17">
        <f>TIME(8,0,0)</f>
        <v>25569.1875</v>
      </c>
      <c r="T15" s="17">
        <f>IFERROR(IF(R15="ATTENTION",TIME(8,0,0),IF(S15&gt;R15,S15-R15,R15-S15)),"")</f>
        <v>25569.1875</v>
      </c>
      <c r="U15" s="18">
        <f>IFERROR(VLOOKUP(L15,Calendar!$A$2:$C$261,3,0),"")</f>
      </c>
      <c r="V15" s="19">
        <f>IF(AND(LEN(C15)&gt;0,LEN(D15)=0),"NO CHECK-OUT","")</f>
      </c>
      <c r="W15" s="20">
        <f>IFERROR(IF(R15="",W14,IF(R15="ATTENTION",W14-S15,IF(S15&gt;R15,W14-T15,W14+T15))),"")</f>
        <v>25569.1875</v>
      </c>
    </row>
    <row x14ac:dyDescent="0.25" r="16" customHeight="1" ht="17.25">
      <c r="A16" s="21"/>
      <c r="B16" s="24"/>
      <c r="C16" s="35"/>
      <c r="D16" s="35"/>
      <c r="E16" s="37"/>
      <c r="F16" s="37"/>
      <c r="G16" s="21"/>
      <c r="H16" s="21"/>
      <c r="I16" s="21"/>
      <c r="J16" s="43">
        <f>IFERROR(DATE((LEFT(B16,4)),MID(B16,5,2),RIGHT(B16,2)),"")</f>
        <v>25569.1875</v>
      </c>
      <c r="K16" s="21"/>
      <c r="L16" s="49">
        <f>IF(A16="Total Hours","",IF(J16="",L15,J16))</f>
        <v>25569.1875</v>
      </c>
      <c r="M16" s="50">
        <f>A16</f>
      </c>
      <c r="N16" s="17">
        <f>IF(C16="",IF(U16="",C16,""),C16)</f>
        <v>25569.1875</v>
      </c>
      <c r="O16" s="17">
        <f>IF(D16="",IF(U16="",D16,""),D16)</f>
        <v>25569.1875</v>
      </c>
      <c r="P16" s="17">
        <f>IFERROR(IF(N16&gt;O16,G16,O16-N16),"")</f>
        <v>25569.1875</v>
      </c>
      <c r="Q16" s="17">
        <f>IF(U16="",TIME(0,30,0),"")</f>
        <v>25569.1875</v>
      </c>
      <c r="R16" s="17">
        <f>IFERROR(IF(OR(IFERROR((P16-Q16)&lt;0,""),P16="Missing OUT"),"ATTENTION",P16-Q16),"")</f>
        <v>25569.1875</v>
      </c>
      <c r="S16" s="17">
        <f>TIME(8,0,0)</f>
        <v>25569.1875</v>
      </c>
      <c r="T16" s="17">
        <f>IFERROR(IF(R16="ATTENTION",TIME(8,0,0),IF(S16&gt;R16,S16-R16,R16-S16)),"")</f>
        <v>25569.1875</v>
      </c>
      <c r="U16" s="18">
        <f>IFERROR(VLOOKUP(L16,Calendar!$A$2:$C$261,3,0),"")</f>
      </c>
      <c r="V16" s="19">
        <f>IF(AND(LEN(C16)&gt;0,LEN(D16)=0),"NO CHECK-OUT","")</f>
      </c>
      <c r="W16" s="20">
        <f>IFERROR(IF(R16="",W15,IF(R16="ATTENTION",W15-S16,IF(S16&gt;R16,W15-T16,W15+T16))),"")</f>
        <v>25569.1875</v>
      </c>
    </row>
    <row x14ac:dyDescent="0.25" r="17" customHeight="1" ht="17.25">
      <c r="A17" s="21"/>
      <c r="B17" s="24"/>
      <c r="C17" s="53"/>
      <c r="D17" s="53"/>
      <c r="E17" s="37"/>
      <c r="F17" s="37"/>
      <c r="G17" s="21"/>
      <c r="H17" s="21"/>
      <c r="I17" s="21"/>
      <c r="J17" s="43">
        <f>IFERROR(DATE((LEFT(B17,4)),MID(B17,5,2),RIGHT(B17,2)),"")</f>
        <v>25569.1875</v>
      </c>
      <c r="K17" s="21"/>
      <c r="L17" s="49">
        <f>IF(A17="Total Hours","",IF(J17="",L16,J17))</f>
        <v>25569.1875</v>
      </c>
      <c r="M17" s="50">
        <f>A17</f>
      </c>
      <c r="N17" s="17">
        <f>IF(C17="",IF(U17="",C17,""),C17)</f>
        <v>25569.1875</v>
      </c>
      <c r="O17" s="17">
        <f>IF(D17="",IF(U17="",D17,""),D17)</f>
        <v>25569.1875</v>
      </c>
      <c r="P17" s="17">
        <f>IFERROR(IF(N17&gt;O17,G17,O17-N17),"")</f>
        <v>25569.1875</v>
      </c>
      <c r="Q17" s="17">
        <f>IF(U17="",TIME(0,30,0),"")</f>
        <v>25569.1875</v>
      </c>
      <c r="R17" s="17">
        <f>IFERROR(IF(OR(IFERROR((P17-Q17)&lt;0,""),P17="Missing OUT"),"ATTENTION",P17-Q17),"")</f>
        <v>25569.1875</v>
      </c>
      <c r="S17" s="17">
        <f>TIME(8,0,0)</f>
        <v>25569.1875</v>
      </c>
      <c r="T17" s="17">
        <f>IFERROR(IF(R17="ATTENTION",TIME(8,0,0),IF(S17&gt;R17,S17-R17,R17-S17)),"")</f>
        <v>25569.1875</v>
      </c>
      <c r="U17" s="18">
        <f>IFERROR(VLOOKUP(L17,Calendar!$A$2:$C$261,3,0),"")</f>
      </c>
      <c r="V17" s="19">
        <f>IF(AND(LEN(C17)&gt;0,LEN(D17)=0),"NO CHECK-OUT","")</f>
      </c>
      <c r="W17" s="20">
        <f>IFERROR(IF(R17="",W16,IF(R17="ATTENTION",W16-S17,IF(S17&gt;R17,W16-T17,W16+T17))),"")</f>
        <v>25569.1875</v>
      </c>
    </row>
    <row x14ac:dyDescent="0.25" r="18" customHeight="1" ht="17.25">
      <c r="A18" s="21"/>
      <c r="B18" s="24"/>
      <c r="C18" s="35"/>
      <c r="D18" s="35"/>
      <c r="E18" s="37"/>
      <c r="F18" s="37"/>
      <c r="G18" s="21"/>
      <c r="H18" s="21"/>
      <c r="I18" s="21"/>
      <c r="J18" s="43">
        <f>IFERROR(DATE((LEFT(B18,4)),MID(B18,5,2),RIGHT(B18,2)),"")</f>
        <v>25569.1875</v>
      </c>
      <c r="K18" s="21"/>
      <c r="L18" s="49">
        <f>IF(A18="Total Hours","",IF(J18="",L17,J18))</f>
        <v>25569.1875</v>
      </c>
      <c r="M18" s="50">
        <f>A18</f>
      </c>
      <c r="N18" s="17">
        <f>IF(C18="",IF(U18="",C18,""),C18)</f>
        <v>25569.1875</v>
      </c>
      <c r="O18" s="17">
        <f>IF(D18="",IF(U18="",D18,""),D18)</f>
        <v>25569.1875</v>
      </c>
      <c r="P18" s="17">
        <f>IFERROR(IF(N18&gt;O18,G18,O18-N18),"")</f>
        <v>25569.1875</v>
      </c>
      <c r="Q18" s="17">
        <f>IF(U18="",TIME(0,30,0),"")</f>
        <v>25569.1875</v>
      </c>
      <c r="R18" s="17">
        <f>IFERROR(IF(OR(IFERROR((P18-Q18)&lt;0,""),P18="Missing OUT"),"ATTENTION",P18-Q18),"")</f>
        <v>25569.1875</v>
      </c>
      <c r="S18" s="17">
        <f>TIME(8,0,0)</f>
        <v>25569.1875</v>
      </c>
      <c r="T18" s="17">
        <f>IFERROR(IF(R18="ATTENTION",TIME(8,0,0),IF(S18&gt;R18,S18-R18,R18-S18)),"")</f>
        <v>25569.1875</v>
      </c>
      <c r="U18" s="18">
        <f>IFERROR(VLOOKUP(L18,Calendar!$A$2:$C$261,3,0),"")</f>
      </c>
      <c r="V18" s="19">
        <f>IF(AND(LEN(C18)&gt;0,LEN(D18)=0),"NO CHECK-OUT","")</f>
      </c>
      <c r="W18" s="20">
        <f>IFERROR(IF(R18="",W17,IF(R18="ATTENTION",W17-S18,IF(S18&gt;R18,W17-T18,W17+T18))),"")</f>
        <v>25569.1875</v>
      </c>
    </row>
    <row x14ac:dyDescent="0.25" r="19" customHeight="1" ht="17.25">
      <c r="A19" s="21"/>
      <c r="B19" s="24"/>
      <c r="C19" s="53"/>
      <c r="D19" s="53"/>
      <c r="E19" s="37"/>
      <c r="F19" s="37"/>
      <c r="G19" s="21"/>
      <c r="H19" s="21"/>
      <c r="I19" s="21"/>
      <c r="J19" s="43">
        <f>IFERROR(DATE((LEFT(B19,4)),MID(B19,5,2),RIGHT(B19,2)),"")</f>
        <v>25569.1875</v>
      </c>
      <c r="K19" s="21"/>
      <c r="L19" s="49">
        <f>IF(A19="Total Hours","",IF(J19="",L18,J19))</f>
        <v>25569.1875</v>
      </c>
      <c r="M19" s="50">
        <f>A19</f>
      </c>
      <c r="N19" s="17">
        <f>IF(C19="",IF(U19="",C19,""),C19)</f>
        <v>25569.1875</v>
      </c>
      <c r="O19" s="17">
        <f>IF(D19="",IF(U19="",D19,""),D19)</f>
        <v>25569.1875</v>
      </c>
      <c r="P19" s="17">
        <f>IFERROR(IF(N19&gt;O19,G19,O19-N19),"")</f>
        <v>25569.1875</v>
      </c>
      <c r="Q19" s="17">
        <f>IF(U19="",TIME(0,30,0),"")</f>
        <v>25569.1875</v>
      </c>
      <c r="R19" s="17">
        <f>IFERROR(IF(OR(IFERROR((P19-Q19)&lt;0,""),P19="Missing OUT"),"ATTENTION",P19-Q19),"")</f>
        <v>25569.1875</v>
      </c>
      <c r="S19" s="17">
        <f>TIME(8,0,0)</f>
        <v>25569.1875</v>
      </c>
      <c r="T19" s="17">
        <f>IFERROR(IF(R19="ATTENTION",TIME(8,0,0),IF(S19&gt;R19,S19-R19,R19-S19)),"")</f>
        <v>25569.1875</v>
      </c>
      <c r="U19" s="18">
        <f>IFERROR(VLOOKUP(L19,Calendar!$A$2:$C$261,3,0),"")</f>
      </c>
      <c r="V19" s="19">
        <f>IF(AND(LEN(C19)&gt;0,LEN(D19)=0),"NO CHECK-OUT","")</f>
      </c>
      <c r="W19" s="20">
        <f>IFERROR(IF(R19="",W18,IF(R19="ATTENTION",W18-S19,IF(S19&gt;R19,W18-T19,W18+T19))),"")</f>
        <v>25569.1875</v>
      </c>
    </row>
    <row x14ac:dyDescent="0.25" r="20" customHeight="1" ht="17.25">
      <c r="A20" s="21"/>
      <c r="B20" s="24"/>
      <c r="C20" s="53"/>
      <c r="D20" s="53"/>
      <c r="E20" s="37"/>
      <c r="F20" s="37"/>
      <c r="G20" s="21"/>
      <c r="H20" s="21"/>
      <c r="I20" s="21"/>
      <c r="J20" s="43">
        <f>IFERROR(DATE((LEFT(B20,4)),MID(B20,5,2),RIGHT(B20,2)),"")</f>
        <v>25569.1875</v>
      </c>
      <c r="K20" s="21"/>
      <c r="L20" s="49">
        <f>IF(A20="Total Hours","",IF(J20="",L19,J20))</f>
        <v>25569.1875</v>
      </c>
      <c r="M20" s="50">
        <f>A20</f>
      </c>
      <c r="N20" s="17">
        <f>IF(C20="",IF(U20="",C20,""),C20)</f>
        <v>25569.1875</v>
      </c>
      <c r="O20" s="17">
        <f>IF(D20="",IF(U20="",D20,""),D20)</f>
        <v>25569.1875</v>
      </c>
      <c r="P20" s="17">
        <f>IFERROR(IF(N20&gt;O20,G20,O20-N20),"")</f>
        <v>25569.1875</v>
      </c>
      <c r="Q20" s="17">
        <f>IF(U20="",TIME(0,30,0),"")</f>
        <v>25569.1875</v>
      </c>
      <c r="R20" s="17">
        <f>IFERROR(IF(OR(IFERROR((P20-Q20)&lt;0,""),P20="Missing OUT"),"ATTENTION",P20-Q20),"")</f>
        <v>25569.1875</v>
      </c>
      <c r="S20" s="17">
        <f>TIME(8,0,0)</f>
        <v>25569.1875</v>
      </c>
      <c r="T20" s="17">
        <f>IFERROR(IF(R20="ATTENTION",TIME(8,0,0),IF(S20&gt;R20,S20-R20,R20-S20)),"")</f>
        <v>25569.1875</v>
      </c>
      <c r="U20" s="18">
        <f>IFERROR(VLOOKUP(L20,Calendar!$A$2:$C$261,3,0),"")</f>
      </c>
      <c r="V20" s="19">
        <f>IF(AND(LEN(C20)&gt;0,LEN(D20)=0),"NO CHECK-OUT","")</f>
      </c>
      <c r="W20" s="20">
        <f>IFERROR(IF(R20="",W19,IF(R20="ATTENTION",W19-S20,IF(S20&gt;R20,W19-T20,W19+T20))),"")</f>
        <v>25569.1875</v>
      </c>
    </row>
    <row x14ac:dyDescent="0.25" r="21" customHeight="1" ht="17.25">
      <c r="A21" s="21"/>
      <c r="B21" s="24"/>
      <c r="C21" s="35"/>
      <c r="D21" s="35"/>
      <c r="E21" s="37"/>
      <c r="F21" s="37"/>
      <c r="G21" s="21"/>
      <c r="H21" s="21"/>
      <c r="I21" s="21"/>
      <c r="J21" s="43">
        <f>IFERROR(DATE((LEFT(B21,4)),MID(B21,5,2),RIGHT(B21,2)),"")</f>
        <v>25569.1875</v>
      </c>
      <c r="K21" s="21"/>
      <c r="L21" s="49">
        <f>IF(A21="Total Hours","",IF(J21="",L20,J21))</f>
        <v>25569.1875</v>
      </c>
      <c r="M21" s="50">
        <f>A21</f>
      </c>
      <c r="N21" s="17">
        <f>IF(C21="",IF(U21="",C21,""),C21)</f>
        <v>25569.1875</v>
      </c>
      <c r="O21" s="17">
        <f>IF(D21="",IF(U21="",D21,""),D21)</f>
        <v>25569.1875</v>
      </c>
      <c r="P21" s="17">
        <f>IFERROR(IF(N21&gt;O21,G21,O21-N21),"")</f>
        <v>25569.1875</v>
      </c>
      <c r="Q21" s="17">
        <f>IF(U21="",TIME(0,30,0),"")</f>
        <v>25569.1875</v>
      </c>
      <c r="R21" s="17">
        <f>IFERROR(IF(OR(IFERROR((P21-Q21)&lt;0,""),P21="Missing OUT"),"ATTENTION",P21-Q21),"")</f>
        <v>25569.1875</v>
      </c>
      <c r="S21" s="17">
        <f>TIME(8,0,0)</f>
        <v>25569.1875</v>
      </c>
      <c r="T21" s="17">
        <f>IFERROR(IF(R21="ATTENTION",TIME(8,0,0),IF(S21&gt;R21,S21-R21,R21-S21)),"")</f>
        <v>25569.1875</v>
      </c>
      <c r="U21" s="18">
        <f>IFERROR(VLOOKUP(L21,Calendar!$A$2:$C$261,3,0),"")</f>
      </c>
      <c r="V21" s="19">
        <f>IF(AND(LEN(C21)&gt;0,LEN(D21)=0),"NO CHECK-OUT","")</f>
      </c>
      <c r="W21" s="20">
        <f>IFERROR(IF(R21="",W20,IF(R21="ATTENTION",W20-S21,IF(S21&gt;R21,W20-T21,W20+T21))),"")</f>
        <v>25569.1875</v>
      </c>
    </row>
    <row x14ac:dyDescent="0.25" r="22" customHeight="1" ht="17.25">
      <c r="A22" s="21"/>
      <c r="B22" s="24"/>
      <c r="C22" s="35"/>
      <c r="D22" s="35"/>
      <c r="E22" s="37"/>
      <c r="F22" s="37"/>
      <c r="G22" s="21"/>
      <c r="H22" s="21"/>
      <c r="I22" s="21"/>
      <c r="J22" s="43">
        <f>IFERROR(DATE((LEFT(B22,4)),MID(B22,5,2),RIGHT(B22,2)),"")</f>
        <v>25569.1875</v>
      </c>
      <c r="K22" s="21"/>
      <c r="L22" s="49">
        <f>IF(A22="Total Hours","",IF(J22="",L21,J22))</f>
        <v>25569.1875</v>
      </c>
      <c r="M22" s="50">
        <f>A22</f>
      </c>
      <c r="N22" s="17">
        <f>IF(C22="",IF(U22="",C22,""),C22)</f>
        <v>25569.1875</v>
      </c>
      <c r="O22" s="17">
        <f>IF(D22="",IF(U22="",D22,""),D22)</f>
        <v>25569.1875</v>
      </c>
      <c r="P22" s="17">
        <f>IFERROR(IF(N22&gt;O22,G22,O22-N22),"")</f>
        <v>25569.1875</v>
      </c>
      <c r="Q22" s="17">
        <f>IF(U22="",TIME(0,30,0),"")</f>
        <v>25569.1875</v>
      </c>
      <c r="R22" s="17">
        <f>IFERROR(IF(OR(IFERROR((P22-Q22)&lt;0,""),P22="Missing OUT"),"ATTENTION",P22-Q22),"")</f>
        <v>25569.1875</v>
      </c>
      <c r="S22" s="17">
        <f>TIME(8,0,0)</f>
        <v>25569.1875</v>
      </c>
      <c r="T22" s="17">
        <f>IFERROR(IF(R22="ATTENTION",TIME(8,0,0),IF(S22&gt;R22,S22-R22,R22-S22)),"")</f>
        <v>25569.1875</v>
      </c>
      <c r="U22" s="18">
        <f>IFERROR(VLOOKUP(L22,Calendar!$A$2:$C$261,3,0),"")</f>
      </c>
      <c r="V22" s="19">
        <f>IF(AND(LEN(C22)&gt;0,LEN(D22)=0),"NO CHECK-OUT","")</f>
      </c>
      <c r="W22" s="20">
        <f>IFERROR(IF(R22="",W21,IF(R22="ATTENTION",W21-S22,IF(S22&gt;R22,W21-T22,W21+T22))),"")</f>
        <v>25569.1875</v>
      </c>
    </row>
    <row x14ac:dyDescent="0.25" r="23" customHeight="1" ht="17.25">
      <c r="A23" s="21"/>
      <c r="B23" s="24"/>
      <c r="C23" s="53"/>
      <c r="D23" s="53"/>
      <c r="E23" s="37"/>
      <c r="F23" s="37"/>
      <c r="G23" s="21"/>
      <c r="H23" s="21"/>
      <c r="I23" s="21"/>
      <c r="J23" s="43">
        <f>IFERROR(DATE((LEFT(B23,4)),MID(B23,5,2),RIGHT(B23,2)),"")</f>
        <v>25569.1875</v>
      </c>
      <c r="K23" s="21"/>
      <c r="L23" s="49">
        <f>IF(A23="Total Hours","",IF(J23="",L22,J23))</f>
        <v>25569.1875</v>
      </c>
      <c r="M23" s="50">
        <f>A23</f>
      </c>
      <c r="N23" s="17">
        <f>IF(C23="",IF(U23="",C23,""),C23)</f>
        <v>25569.1875</v>
      </c>
      <c r="O23" s="17">
        <f>IF(D23="",IF(U23="",D23,""),D23)</f>
        <v>25569.1875</v>
      </c>
      <c r="P23" s="17">
        <f>IFERROR(IF(N23&gt;O23,G23,O23-N23),"")</f>
        <v>25569.1875</v>
      </c>
      <c r="Q23" s="17">
        <f>IF(U23="",TIME(0,30,0),"")</f>
        <v>25569.1875</v>
      </c>
      <c r="R23" s="17">
        <f>IFERROR(IF(OR(IFERROR((P23-Q23)&lt;0,""),P23="Missing OUT"),"ATTENTION",P23-Q23),"")</f>
        <v>25569.1875</v>
      </c>
      <c r="S23" s="17">
        <f>TIME(8,0,0)</f>
        <v>25569.1875</v>
      </c>
      <c r="T23" s="17">
        <f>IFERROR(IF(R23="ATTENTION",TIME(8,0,0),IF(S23&gt;R23,S23-R23,R23-S23)),"")</f>
        <v>25569.1875</v>
      </c>
      <c r="U23" s="18">
        <f>IFERROR(VLOOKUP(L23,Calendar!$A$2:$C$261,3,0),"")</f>
      </c>
      <c r="V23" s="19">
        <f>IF(AND(LEN(C23)&gt;0,LEN(D23)=0),"NO CHECK-OUT","")</f>
      </c>
      <c r="W23" s="20">
        <f>IFERROR(IF(R23="",W22,IF(R23="ATTENTION",W22-S23,IF(S23&gt;R23,W22-T23,W22+T23))),"")</f>
        <v>25569.1875</v>
      </c>
    </row>
    <row x14ac:dyDescent="0.25" r="24" customHeight="1" ht="17.25">
      <c r="A24" s="21"/>
      <c r="B24" s="24"/>
      <c r="C24" s="35"/>
      <c r="D24" s="35"/>
      <c r="E24" s="37"/>
      <c r="F24" s="37"/>
      <c r="G24" s="21"/>
      <c r="H24" s="21"/>
      <c r="I24" s="21"/>
      <c r="J24" s="43">
        <f>IFERROR(DATE((LEFT(B24,4)),MID(B24,5,2),RIGHT(B24,2)),"")</f>
        <v>25569.1875</v>
      </c>
      <c r="K24" s="21"/>
      <c r="L24" s="49">
        <f>IF(A24="Total Hours","",IF(J24="",L23,J24))</f>
        <v>25569.1875</v>
      </c>
      <c r="M24" s="50">
        <f>A24</f>
      </c>
      <c r="N24" s="17">
        <f>IF(C24="",IF(U24="",C24,""),C24)</f>
        <v>25569.1875</v>
      </c>
      <c r="O24" s="17">
        <f>IF(D24="",IF(U24="",D24,""),D24)</f>
        <v>25569.1875</v>
      </c>
      <c r="P24" s="17">
        <f>IFERROR(IF(N24&gt;O24,G24,O24-N24),"")</f>
        <v>25569.1875</v>
      </c>
      <c r="Q24" s="17">
        <f>IF(U24="",TIME(0,30,0),"")</f>
        <v>25569.1875</v>
      </c>
      <c r="R24" s="17">
        <f>IFERROR(IF(OR(IFERROR((P24-Q24)&lt;0,""),P24="Missing OUT"),"ATTENTION",P24-Q24),"")</f>
        <v>25569.1875</v>
      </c>
      <c r="S24" s="17">
        <f>TIME(8,0,0)</f>
        <v>25569.1875</v>
      </c>
      <c r="T24" s="17">
        <f>IFERROR(IF(R24="ATTENTION",TIME(8,0,0),IF(S24&gt;R24,S24-R24,R24-S24)),"")</f>
        <v>25569.1875</v>
      </c>
      <c r="U24" s="18">
        <f>IFERROR(VLOOKUP(L24,Calendar!$A$2:$C$261,3,0),"")</f>
      </c>
      <c r="V24" s="19">
        <f>IF(AND(LEN(C24)&gt;0,LEN(D24)=0),"NO CHECK-OUT","")</f>
      </c>
      <c r="W24" s="20">
        <f>IFERROR(IF(R24="",W23,IF(R24="ATTENTION",W23-S24,IF(S24&gt;R24,W23-T24,W23+T24))),"")</f>
        <v>25569.1875</v>
      </c>
    </row>
    <row x14ac:dyDescent="0.25" r="25" customHeight="1" ht="17.25">
      <c r="A25" s="21"/>
      <c r="B25" s="24"/>
      <c r="C25" s="53"/>
      <c r="D25" s="35"/>
      <c r="E25" s="37"/>
      <c r="F25" s="37"/>
      <c r="G25" s="21"/>
      <c r="H25" s="21"/>
      <c r="I25" s="21"/>
      <c r="J25" s="43">
        <f>IFERROR(DATE((LEFT(B25,4)),MID(B25,5,2),RIGHT(B25,2)),"")</f>
        <v>25569.1875</v>
      </c>
      <c r="K25" s="21"/>
      <c r="L25" s="49">
        <f>IF(A25="Total Hours","",IF(J25="",L24,J25))</f>
        <v>25569.1875</v>
      </c>
      <c r="M25" s="50">
        <f>A25</f>
      </c>
      <c r="N25" s="17">
        <f>IF(C25="",IF(U25="",C25,""),C25)</f>
        <v>25569.1875</v>
      </c>
      <c r="O25" s="17">
        <f>IF(D25="",IF(U25="",D25,""),D25)</f>
        <v>25569.1875</v>
      </c>
      <c r="P25" s="17">
        <f>IFERROR(IF(N25&gt;O25,G25,O25-N25),"")</f>
        <v>25569.1875</v>
      </c>
      <c r="Q25" s="17">
        <f>IF(U25="",TIME(0,30,0),"")</f>
        <v>25569.1875</v>
      </c>
      <c r="R25" s="17">
        <f>IFERROR(IF(OR(IFERROR((P25-Q25)&lt;0,""),P25="Missing OUT"),"ATTENTION",P25-Q25),"")</f>
        <v>25569.1875</v>
      </c>
      <c r="S25" s="17">
        <f>TIME(8,0,0)</f>
        <v>25569.1875</v>
      </c>
      <c r="T25" s="17">
        <f>IFERROR(IF(R25="ATTENTION",TIME(8,0,0),IF(S25&gt;R25,S25-R25,R25-S25)),"")</f>
        <v>25569.1875</v>
      </c>
      <c r="U25" s="18">
        <f>IFERROR(VLOOKUP(L25,Calendar!$A$2:$C$261,3,0),"")</f>
      </c>
      <c r="V25" s="19">
        <f>IF(AND(LEN(C25)&gt;0,LEN(D25)=0),"NO CHECK-OUT","")</f>
      </c>
      <c r="W25" s="20">
        <f>IFERROR(IF(R25="",W24,IF(R25="ATTENTION",W24-S25,IF(S25&gt;R25,W24-T25,W24+T25))),"")</f>
        <v>25569.1875</v>
      </c>
    </row>
    <row x14ac:dyDescent="0.25" r="26" customHeight="1" ht="17.25">
      <c r="A26" s="21"/>
      <c r="B26" s="24"/>
      <c r="C26" s="53"/>
      <c r="D26" s="53"/>
      <c r="E26" s="37"/>
      <c r="F26" s="37"/>
      <c r="G26" s="21"/>
      <c r="H26" s="21"/>
      <c r="I26" s="21"/>
      <c r="J26" s="43">
        <f>IFERROR(DATE((LEFT(B26,4)),MID(B26,5,2),RIGHT(B26,2)),"")</f>
        <v>25569.1875</v>
      </c>
      <c r="K26" s="21"/>
      <c r="L26" s="49">
        <f>IF(A26="Total Hours","",IF(J26="",L25,J26))</f>
        <v>25569.1875</v>
      </c>
      <c r="M26" s="50">
        <f>A26</f>
      </c>
      <c r="N26" s="17">
        <f>IF(C26="",IF(U26="",C26,""),C26)</f>
        <v>25569.1875</v>
      </c>
      <c r="O26" s="17">
        <f>IF(D26="",IF(U26="",D26,""),D26)</f>
        <v>25569.1875</v>
      </c>
      <c r="P26" s="17">
        <f>IFERROR(IF(N26&gt;O26,G26,O26-N26),"")</f>
        <v>25569.1875</v>
      </c>
      <c r="Q26" s="17">
        <f>IF(U26="",TIME(0,30,0),"")</f>
        <v>25569.1875</v>
      </c>
      <c r="R26" s="17">
        <f>IFERROR(IF(OR(IFERROR((P26-Q26)&lt;0,""),P26="Missing OUT"),"ATTENTION",P26-Q26),"")</f>
        <v>25569.1875</v>
      </c>
      <c r="S26" s="17">
        <f>TIME(8,0,0)</f>
        <v>25569.1875</v>
      </c>
      <c r="T26" s="17">
        <f>IFERROR(IF(R26="ATTENTION",TIME(8,0,0),IF(S26&gt;R26,S26-R26,R26-S26)),"")</f>
        <v>25569.1875</v>
      </c>
      <c r="U26" s="18">
        <f>IFERROR(VLOOKUP(L26,Calendar!$A$2:$C$261,3,0),"")</f>
      </c>
      <c r="V26" s="19">
        <f>IF(AND(LEN(C26)&gt;0,LEN(D26)=0),"NO CHECK-OUT","")</f>
      </c>
      <c r="W26" s="20">
        <f>IFERROR(IF(R26="",W25,IF(R26="ATTENTION",W25-S26,IF(S26&gt;R26,W25-T26,W25+T26))),"")</f>
        <v>25569.1875</v>
      </c>
    </row>
    <row x14ac:dyDescent="0.25" r="27" customHeight="1" ht="17.25">
      <c r="A27" s="21"/>
      <c r="B27" s="24"/>
      <c r="C27" s="53"/>
      <c r="D27" s="35"/>
      <c r="E27" s="37"/>
      <c r="F27" s="37"/>
      <c r="G27" s="21"/>
      <c r="H27" s="21"/>
      <c r="I27" s="21"/>
      <c r="J27" s="43">
        <f>IFERROR(DATE((LEFT(B27,4)),MID(B27,5,2),RIGHT(B27,2)),"")</f>
        <v>25569.1875</v>
      </c>
      <c r="K27" s="21"/>
      <c r="L27" s="49">
        <f>IF(A27="Total Hours","",IF(J27="",L26,J27))</f>
        <v>25569.1875</v>
      </c>
      <c r="M27" s="50">
        <f>A27</f>
      </c>
      <c r="N27" s="17">
        <f>IF(C27="",IF(U27="",C27,""),C27)</f>
        <v>25569.1875</v>
      </c>
      <c r="O27" s="17">
        <f>IF(D27="",IF(U27="",D27,""),D27)</f>
        <v>25569.1875</v>
      </c>
      <c r="P27" s="17">
        <f>IFERROR(IF(N27&gt;O27,G27,O27-N27),"")</f>
        <v>25569.1875</v>
      </c>
      <c r="Q27" s="17">
        <f>IF(U27="",TIME(0,30,0),"")</f>
        <v>25569.1875</v>
      </c>
      <c r="R27" s="17">
        <f>IFERROR(IF(OR(IFERROR((P27-Q27)&lt;0,""),P27="Missing OUT"),"ATTENTION",P27-Q27),"")</f>
        <v>25569.1875</v>
      </c>
      <c r="S27" s="17">
        <f>TIME(8,0,0)</f>
        <v>25569.1875</v>
      </c>
      <c r="T27" s="17">
        <f>IFERROR(IF(R27="ATTENTION",TIME(8,0,0),IF(S27&gt;R27,S27-R27,R27-S27)),"")</f>
        <v>25569.1875</v>
      </c>
      <c r="U27" s="18">
        <f>IFERROR(VLOOKUP(L27,Calendar!$A$2:$C$261,3,0),"")</f>
      </c>
      <c r="V27" s="19">
        <f>IF(AND(LEN(C27)&gt;0,LEN(D27)=0),"NO CHECK-OUT","")</f>
      </c>
      <c r="W27" s="20">
        <f>IFERROR(IF(R27="",W26,IF(R27="ATTENTION",W26-S27,IF(S27&gt;R27,W26-T27,W26+T27))),"")</f>
        <v>25569.1875</v>
      </c>
    </row>
    <row x14ac:dyDescent="0.25" r="28" customHeight="1" ht="17.25">
      <c r="A28" s="21"/>
      <c r="B28" s="24"/>
      <c r="C28" s="35"/>
      <c r="D28" s="35"/>
      <c r="E28" s="37"/>
      <c r="F28" s="37"/>
      <c r="G28" s="21"/>
      <c r="H28" s="21"/>
      <c r="I28" s="21"/>
      <c r="J28" s="43">
        <f>IFERROR(DATE((LEFT(B28,4)),MID(B28,5,2),RIGHT(B28,2)),"")</f>
        <v>25569.1875</v>
      </c>
      <c r="K28" s="21"/>
      <c r="L28" s="49">
        <f>IF(A28="Total Hours","",IF(J28="",L27,J28))</f>
        <v>25569.1875</v>
      </c>
      <c r="M28" s="50">
        <f>A28</f>
      </c>
      <c r="N28" s="17">
        <f>IF(C28="",IF(U28="",C28,""),C28)</f>
        <v>25569.1875</v>
      </c>
      <c r="O28" s="17">
        <f>IF(D28="",IF(U28="",D28,""),D28)</f>
        <v>25569.1875</v>
      </c>
      <c r="P28" s="17">
        <f>IFERROR(IF(N28&gt;O28,G28,O28-N28),"")</f>
        <v>25569.1875</v>
      </c>
      <c r="Q28" s="17">
        <f>IF(U28="",TIME(0,30,0),"")</f>
        <v>25569.1875</v>
      </c>
      <c r="R28" s="17">
        <f>IFERROR(IF(OR(IFERROR((P28-Q28)&lt;0,""),P28="Missing OUT"),"ATTENTION",P28-Q28),"")</f>
        <v>25569.1875</v>
      </c>
      <c r="S28" s="17">
        <f>TIME(8,0,0)</f>
        <v>25569.1875</v>
      </c>
      <c r="T28" s="17">
        <f>IFERROR(IF(R28="ATTENTION",TIME(8,0,0),IF(S28&gt;R28,S28-R28,R28-S28)),"")</f>
        <v>25569.1875</v>
      </c>
      <c r="U28" s="18">
        <f>IFERROR(VLOOKUP(L28,Calendar!$A$2:$C$261,3,0),"")</f>
      </c>
      <c r="V28" s="19">
        <f>IF(AND(LEN(C28)&gt;0,LEN(D28)=0),"NO CHECK-OUT","")</f>
      </c>
      <c r="W28" s="20">
        <f>IFERROR(IF(R28="",W27,IF(R28="ATTENTION",W27-S28,IF(S28&gt;R28,W27-T28,W27+T28))),"")</f>
        <v>25569.1875</v>
      </c>
    </row>
    <row x14ac:dyDescent="0.25" r="29" customHeight="1" ht="17.25">
      <c r="A29" s="21"/>
      <c r="B29" s="24"/>
      <c r="C29" s="35"/>
      <c r="D29" s="35"/>
      <c r="E29" s="37"/>
      <c r="F29" s="37"/>
      <c r="G29" s="21"/>
      <c r="H29" s="21"/>
      <c r="I29" s="21"/>
      <c r="J29" s="43">
        <f>IFERROR(DATE((LEFT(B29,4)),MID(B29,5,2),RIGHT(B29,2)),"")</f>
        <v>25569.1875</v>
      </c>
      <c r="K29" s="21"/>
      <c r="L29" s="49">
        <f>IF(A29="Total Hours","",IF(J29="",L28,J29))</f>
        <v>25569.1875</v>
      </c>
      <c r="M29" s="50">
        <f>A29</f>
      </c>
      <c r="N29" s="17">
        <f>IF(C29="",IF(U29="",C29,""),C29)</f>
        <v>25569.1875</v>
      </c>
      <c r="O29" s="17">
        <f>IF(D29="",IF(U29="",D29,""),D29)</f>
        <v>25569.1875</v>
      </c>
      <c r="P29" s="17">
        <f>IFERROR(IF(N29&gt;O29,G29,O29-N29),"")</f>
        <v>25569.1875</v>
      </c>
      <c r="Q29" s="17">
        <f>IF(U29="",TIME(0,30,0),"")</f>
        <v>25569.1875</v>
      </c>
      <c r="R29" s="17">
        <f>IFERROR(IF(OR(IFERROR((P29-Q29)&lt;0,""),P29="Missing OUT"),"ATTENTION",P29-Q29),"")</f>
        <v>25569.1875</v>
      </c>
      <c r="S29" s="17">
        <f>TIME(8,0,0)</f>
        <v>25569.1875</v>
      </c>
      <c r="T29" s="17">
        <f>IFERROR(IF(R29="ATTENTION",TIME(8,0,0),IF(S29&gt;R29,S29-R29,R29-S29)),"")</f>
        <v>25569.1875</v>
      </c>
      <c r="U29" s="18">
        <f>IFERROR(VLOOKUP(L29,Calendar!$A$2:$C$261,3,0),"")</f>
      </c>
      <c r="V29" s="19">
        <f>IF(AND(LEN(C29)&gt;0,LEN(D29)=0),"NO CHECK-OUT","")</f>
      </c>
      <c r="W29" s="20">
        <f>IFERROR(IF(R29="",W28,IF(R29="ATTENTION",W28-S29,IF(S29&gt;R29,W28-T29,W28+T29))),"")</f>
        <v>25569.1875</v>
      </c>
    </row>
    <row x14ac:dyDescent="0.25" r="30" customHeight="1" ht="17.25">
      <c r="A30" s="21"/>
      <c r="B30" s="24"/>
      <c r="C30" s="35"/>
      <c r="D30" s="35"/>
      <c r="E30" s="37"/>
      <c r="F30" s="37"/>
      <c r="G30" s="21"/>
      <c r="H30" s="21"/>
      <c r="I30" s="21"/>
      <c r="J30" s="43">
        <f>IFERROR(DATE((LEFT(B30,4)),MID(B30,5,2),RIGHT(B30,2)),"")</f>
        <v>25569.1875</v>
      </c>
      <c r="K30" s="21"/>
      <c r="L30" s="49">
        <f>IF(A30="Total Hours","",IF(J30="",L29,J30))</f>
        <v>25569.1875</v>
      </c>
      <c r="M30" s="50">
        <f>A30</f>
      </c>
      <c r="N30" s="17">
        <f>IF(C30="",IF(U30="",C30,""),C30)</f>
        <v>25569.1875</v>
      </c>
      <c r="O30" s="17">
        <f>IF(D30="",IF(U30="",D30,""),D30)</f>
        <v>25569.1875</v>
      </c>
      <c r="P30" s="17">
        <f>IFERROR(IF(N30&gt;O30,G30,O30-N30),"")</f>
        <v>25569.1875</v>
      </c>
      <c r="Q30" s="17">
        <f>IF(U30="",TIME(0,30,0),"")</f>
        <v>25569.1875</v>
      </c>
      <c r="R30" s="17">
        <f>IFERROR(IF(OR(IFERROR((P30-Q30)&lt;0,""),P30="Missing OUT"),"ATTENTION",P30-Q30),"")</f>
        <v>25569.1875</v>
      </c>
      <c r="S30" s="17">
        <f>TIME(8,0,0)</f>
        <v>25569.1875</v>
      </c>
      <c r="T30" s="17">
        <f>IFERROR(IF(R30="ATTENTION",TIME(8,0,0),IF(S30&gt;R30,S30-R30,R30-S30)),"")</f>
        <v>25569.1875</v>
      </c>
      <c r="U30" s="18">
        <f>IFERROR(VLOOKUP(L30,Calendar!$A$2:$C$261,3,0),"")</f>
      </c>
      <c r="V30" s="19">
        <f>IF(AND(LEN(C30)&gt;0,LEN(D30)=0),"NO CHECK-OUT","")</f>
      </c>
      <c r="W30" s="20">
        <f>IFERROR(IF(R30="",W29,IF(R30="ATTENTION",W29-S30,IF(S30&gt;R30,W29-T30,W29+T30))),"")</f>
        <v>25569.1875</v>
      </c>
    </row>
    <row x14ac:dyDescent="0.25" r="31" customHeight="1" ht="17.25">
      <c r="A31" s="21"/>
      <c r="B31" s="24"/>
      <c r="C31" s="35"/>
      <c r="D31" s="35"/>
      <c r="E31" s="37"/>
      <c r="F31" s="37"/>
      <c r="G31" s="21"/>
      <c r="H31" s="21"/>
      <c r="I31" s="21"/>
      <c r="J31" s="43">
        <f>IFERROR(DATE((LEFT(B31,4)),MID(B31,5,2),RIGHT(B31,2)),"")</f>
        <v>25569.1875</v>
      </c>
      <c r="K31" s="21"/>
      <c r="L31" s="49">
        <f>IF(A31="Total Hours","",IF(J31="",L30,J31))</f>
        <v>25569.1875</v>
      </c>
      <c r="M31" s="50">
        <f>A31</f>
      </c>
      <c r="N31" s="17">
        <f>IF(C31="",IF(U31="",C31,""),C31)</f>
        <v>25569.1875</v>
      </c>
      <c r="O31" s="17">
        <f>IF(D31="",IF(U31="",D31,""),D31)</f>
        <v>25569.1875</v>
      </c>
      <c r="P31" s="17">
        <f>IFERROR(IF(N31&gt;O31,G31,O31-N31),"")</f>
        <v>25569.1875</v>
      </c>
      <c r="Q31" s="17">
        <f>IF(U31="",TIME(0,30,0),"")</f>
        <v>25569.1875</v>
      </c>
      <c r="R31" s="17">
        <f>IFERROR(IF(OR(IFERROR((P31-Q31)&lt;0,""),P31="Missing OUT"),"ATTENTION",P31-Q31),"")</f>
        <v>25569.1875</v>
      </c>
      <c r="S31" s="17">
        <f>TIME(8,0,0)</f>
        <v>25569.1875</v>
      </c>
      <c r="T31" s="17">
        <f>IFERROR(IF(R31="ATTENTION",TIME(8,0,0),IF(S31&gt;R31,S31-R31,R31-S31)),"")</f>
        <v>25569.1875</v>
      </c>
      <c r="U31" s="18">
        <f>IFERROR(VLOOKUP(L31,Calendar!$A$2:$C$261,3,0),"")</f>
      </c>
      <c r="V31" s="19">
        <f>IF(AND(LEN(C31)&gt;0,LEN(D31)=0),"NO CHECK-OUT","")</f>
      </c>
      <c r="W31" s="20">
        <f>IFERROR(IF(R31="",W30,IF(R31="ATTENTION",W30-S31,IF(S31&gt;R31,W30-T31,W30+T31))),"")</f>
        <v>25569.1875</v>
      </c>
    </row>
    <row x14ac:dyDescent="0.25" r="32" customHeight="1" ht="17.25">
      <c r="A32" s="21"/>
      <c r="B32" s="24"/>
      <c r="C32" s="35"/>
      <c r="D32" s="35"/>
      <c r="E32" s="37"/>
      <c r="F32" s="37"/>
      <c r="G32" s="21"/>
      <c r="H32" s="21"/>
      <c r="I32" s="21"/>
      <c r="J32" s="43">
        <f>IFERROR(DATE((LEFT(B32,4)),MID(B32,5,2),RIGHT(B32,2)),"")</f>
        <v>25569.1875</v>
      </c>
      <c r="K32" s="21"/>
      <c r="L32" s="49">
        <f>IF(A32="Total Hours","",IF(J32="",L31,J32))</f>
        <v>25569.1875</v>
      </c>
      <c r="M32" s="50">
        <f>A32</f>
      </c>
      <c r="N32" s="17">
        <f>IF(C32="",IF(U32="",C32,""),C32)</f>
        <v>25569.1875</v>
      </c>
      <c r="O32" s="17">
        <f>IF(D32="",IF(U32="",D32,""),D32)</f>
        <v>25569.1875</v>
      </c>
      <c r="P32" s="17">
        <f>IFERROR(IF(N32&gt;O32,G32,O32-N32),"")</f>
        <v>25569.1875</v>
      </c>
      <c r="Q32" s="17">
        <f>IF(U32="",TIME(0,30,0),"")</f>
        <v>25569.1875</v>
      </c>
      <c r="R32" s="17">
        <f>IFERROR(IF(OR(IFERROR((P32-Q32)&lt;0,""),P32="Missing OUT"),"ATTENTION",P32-Q32),"")</f>
        <v>25569.1875</v>
      </c>
      <c r="S32" s="17">
        <f>TIME(8,0,0)</f>
        <v>25569.1875</v>
      </c>
      <c r="T32" s="17">
        <f>IFERROR(IF(R32="ATTENTION",TIME(8,0,0),IF(S32&gt;R32,S32-R32,R32-S32)),"")</f>
        <v>25569.1875</v>
      </c>
      <c r="U32" s="18">
        <f>IFERROR(VLOOKUP(L32,Calendar!$A$2:$C$261,3,0),"")</f>
      </c>
      <c r="V32" s="19">
        <f>IF(AND(LEN(C32)&gt;0,LEN(D32)=0),"NO CHECK-OUT","")</f>
      </c>
      <c r="W32" s="20">
        <f>IFERROR(IF(R32="",W31,IF(R32="ATTENTION",W31-S32,IF(S32&gt;R32,W31-T32,W31+T32))),"")</f>
        <v>25569.1875</v>
      </c>
    </row>
    <row x14ac:dyDescent="0.25" r="33" customHeight="1" ht="17.25">
      <c r="A33" s="21"/>
      <c r="B33" s="24"/>
      <c r="C33" s="35"/>
      <c r="D33" s="35"/>
      <c r="E33" s="37"/>
      <c r="F33" s="37"/>
      <c r="G33" s="21"/>
      <c r="H33" s="21"/>
      <c r="I33" s="21"/>
      <c r="J33" s="43">
        <f>IFERROR(DATE((LEFT(B33,4)),MID(B33,5,2),RIGHT(B33,2)),"")</f>
        <v>25569.1875</v>
      </c>
      <c r="K33" s="21"/>
      <c r="L33" s="49">
        <f>IF(A33="Total Hours","",IF(J33="",L32,J33))</f>
        <v>25569.1875</v>
      </c>
      <c r="M33" s="50">
        <f>A33</f>
      </c>
      <c r="N33" s="17">
        <f>IF(C33="",IF(U33="",C33,""),C33)</f>
        <v>25569.1875</v>
      </c>
      <c r="O33" s="17">
        <f>IF(D33="",IF(U33="",D33,""),D33)</f>
        <v>25569.1875</v>
      </c>
      <c r="P33" s="17">
        <f>IFERROR(IF(N33&gt;O33,G33,O33-N33),"")</f>
        <v>25569.1875</v>
      </c>
      <c r="Q33" s="17">
        <f>IF(U33="",TIME(0,30,0),"")</f>
        <v>25569.1875</v>
      </c>
      <c r="R33" s="17">
        <f>IFERROR(IF(OR(IFERROR((P33-Q33)&lt;0,""),P33="Missing OUT"),"ATTENTION",P33-Q33),"")</f>
        <v>25569.1875</v>
      </c>
      <c r="S33" s="17">
        <f>TIME(8,0,0)</f>
        <v>25569.1875</v>
      </c>
      <c r="T33" s="17">
        <f>IFERROR(IF(R33="ATTENTION",TIME(8,0,0),IF(S33&gt;R33,S33-R33,R33-S33)),"")</f>
        <v>25569.1875</v>
      </c>
      <c r="U33" s="18">
        <f>IFERROR(VLOOKUP(L33,Calendar!$A$2:$C$261,3,0),"")</f>
      </c>
      <c r="V33" s="19">
        <f>IF(AND(LEN(C33)&gt;0,LEN(D33)=0),"NO CHECK-OUT","")</f>
      </c>
      <c r="W33" s="20">
        <f>IFERROR(IF(R33="",W32,IF(R33="ATTENTION",W32-S33,IF(S33&gt;R33,W32-T33,W32+T33))),"")</f>
        <v>25569.1875</v>
      </c>
    </row>
    <row x14ac:dyDescent="0.25" r="34" customHeight="1" ht="17.25">
      <c r="A34" s="21"/>
      <c r="B34" s="24"/>
      <c r="C34" s="35"/>
      <c r="D34" s="35"/>
      <c r="E34" s="37"/>
      <c r="F34" s="37"/>
      <c r="G34" s="21"/>
      <c r="H34" s="21"/>
      <c r="I34" s="21"/>
      <c r="J34" s="43">
        <f>IFERROR(DATE((LEFT(B34,4)),MID(B34,5,2),RIGHT(B34,2)),"")</f>
        <v>25569.1875</v>
      </c>
      <c r="K34" s="21"/>
      <c r="L34" s="49">
        <f>IF(A34="Total Hours","",IF(J34="",L33,J34))</f>
        <v>25569.1875</v>
      </c>
      <c r="M34" s="50">
        <f>A34</f>
      </c>
      <c r="N34" s="17">
        <f>IF(C34="",IF(U34="",C34,""),C34)</f>
        <v>25569.1875</v>
      </c>
      <c r="O34" s="17">
        <f>IF(D34="",IF(U34="",D34,""),D34)</f>
        <v>25569.1875</v>
      </c>
      <c r="P34" s="17">
        <f>IFERROR(IF(N34&gt;O34,G34,O34-N34),"")</f>
        <v>25569.1875</v>
      </c>
      <c r="Q34" s="17">
        <f>IF(U34="",TIME(0,30,0),"")</f>
        <v>25569.1875</v>
      </c>
      <c r="R34" s="17">
        <f>IFERROR(IF(OR(IFERROR((P34-Q34)&lt;0,""),P34="Missing OUT"),"ATTENTION",P34-Q34),"")</f>
        <v>25569.1875</v>
      </c>
      <c r="S34" s="17">
        <f>TIME(8,0,0)</f>
        <v>25569.1875</v>
      </c>
      <c r="T34" s="17">
        <f>IFERROR(IF(R34="ATTENTION",TIME(8,0,0),IF(S34&gt;R34,S34-R34,R34-S34)),"")</f>
        <v>25569.1875</v>
      </c>
      <c r="U34" s="18">
        <f>IFERROR(VLOOKUP(L34,Calendar!$A$2:$C$261,3,0),"")</f>
      </c>
      <c r="V34" s="19">
        <f>IF(AND(LEN(C34)&gt;0,LEN(D34)=0),"NO CHECK-OUT","")</f>
      </c>
      <c r="W34" s="20">
        <f>IFERROR(IF(R34="",W33,IF(R34="ATTENTION",W33-S34,IF(S34&gt;R34,W33-T34,W33+T34))),"")</f>
        <v>25569.1875</v>
      </c>
    </row>
    <row x14ac:dyDescent="0.25" r="35" customHeight="1" ht="17.25">
      <c r="A35" s="21"/>
      <c r="B35" s="24"/>
      <c r="C35" s="35"/>
      <c r="D35" s="35"/>
      <c r="E35" s="37"/>
      <c r="F35" s="37"/>
      <c r="G35" s="21"/>
      <c r="H35" s="21"/>
      <c r="I35" s="21"/>
      <c r="J35" s="43">
        <f>IFERROR(DATE((LEFT(B35,4)),MID(B35,5,2),RIGHT(B35,2)),"")</f>
        <v>25569.1875</v>
      </c>
      <c r="K35" s="21"/>
      <c r="L35" s="49">
        <f>IF(A35="Total Hours","",IF(J35="",L34,J35))</f>
        <v>25569.1875</v>
      </c>
      <c r="M35" s="50">
        <f>A35</f>
      </c>
      <c r="N35" s="17">
        <f>IF(C35="",IF(U35="",C35,""),C35)</f>
        <v>25569.1875</v>
      </c>
      <c r="O35" s="17">
        <f>IF(D35="",IF(U35="",D35,""),D35)</f>
        <v>25569.1875</v>
      </c>
      <c r="P35" s="17">
        <f>IFERROR(IF(N35&gt;O35,G35,O35-N35),"")</f>
        <v>25569.1875</v>
      </c>
      <c r="Q35" s="17">
        <f>IF(U35="",TIME(0,30,0),"")</f>
        <v>25569.1875</v>
      </c>
      <c r="R35" s="17">
        <f>IFERROR(IF(OR(IFERROR((P35-Q35)&lt;0,""),P35="Missing OUT"),"ATTENTION",P35-Q35),"")</f>
        <v>25569.1875</v>
      </c>
      <c r="S35" s="17">
        <f>TIME(8,0,0)</f>
        <v>25569.1875</v>
      </c>
      <c r="T35" s="17">
        <f>IFERROR(IF(R35="ATTENTION",TIME(8,0,0),IF(S35&gt;R35,S35-R35,R35-S35)),"")</f>
        <v>25569.1875</v>
      </c>
      <c r="U35" s="18">
        <f>IFERROR(VLOOKUP(L35,Calendar!$A$2:$C$261,3,0),"")</f>
      </c>
      <c r="V35" s="19">
        <f>IF(AND(LEN(C35)&gt;0,LEN(D35)=0),"NO CHECK-OUT","")</f>
      </c>
      <c r="W35" s="20">
        <f>IFERROR(IF(R35="",W34,IF(R35="ATTENTION",W34-S35,IF(S35&gt;R35,W34-T35,W34+T35))),"")</f>
        <v>25569.1875</v>
      </c>
    </row>
    <row x14ac:dyDescent="0.25" r="36" customHeight="1" ht="17.25">
      <c r="A36" s="21"/>
      <c r="B36" s="24"/>
      <c r="C36" s="35"/>
      <c r="D36" s="35"/>
      <c r="E36" s="37"/>
      <c r="F36" s="37"/>
      <c r="G36" s="21"/>
      <c r="H36" s="21"/>
      <c r="I36" s="21"/>
      <c r="J36" s="43">
        <f>IFERROR(DATE((LEFT(B36,4)),MID(B36,5,2),RIGHT(B36,2)),"")</f>
        <v>25569.1875</v>
      </c>
      <c r="K36" s="21"/>
      <c r="L36" s="49">
        <f>IF(A36="Total Hours","",IF(J36="",L35,J36))</f>
        <v>25569.1875</v>
      </c>
      <c r="M36" s="50">
        <f>A36</f>
      </c>
      <c r="N36" s="17">
        <f>IF(C36="",IF(U36="",C36,""),C36)</f>
        <v>25569.1875</v>
      </c>
      <c r="O36" s="17">
        <f>IF(D36="",IF(U36="",D36,""),D36)</f>
        <v>25569.1875</v>
      </c>
      <c r="P36" s="17">
        <f>IFERROR(IF(N36&gt;O36,G36,O36-N36),"")</f>
        <v>25569.1875</v>
      </c>
      <c r="Q36" s="17">
        <f>IF(U36="",TIME(0,30,0),"")</f>
        <v>25569.1875</v>
      </c>
      <c r="R36" s="17">
        <f>IFERROR(IF(OR(IFERROR((P36-Q36)&lt;0,""),P36="Missing OUT"),"ATTENTION",P36-Q36),"")</f>
        <v>25569.1875</v>
      </c>
      <c r="S36" s="17">
        <f>TIME(8,0,0)</f>
        <v>25569.1875</v>
      </c>
      <c r="T36" s="17">
        <f>IFERROR(IF(R36="ATTENTION",TIME(8,0,0),IF(S36&gt;R36,S36-R36,R36-S36)),"")</f>
        <v>25569.1875</v>
      </c>
      <c r="U36" s="18">
        <f>IFERROR(VLOOKUP(L36,Calendar!$A$2:$C$261,3,0),"")</f>
      </c>
      <c r="V36" s="19">
        <f>IF(AND(LEN(C36)&gt;0,LEN(D36)=0),"NO CHECK-OUT","")</f>
      </c>
      <c r="W36" s="20">
        <f>IFERROR(IF(R36="",W35,IF(R36="ATTENTION",W35-S36,IF(S36&gt;R36,W35-T36,W35+T36))),"")</f>
        <v>25569.1875</v>
      </c>
    </row>
    <row x14ac:dyDescent="0.25" r="37" customHeight="1" ht="17.25">
      <c r="A37" s="21"/>
      <c r="B37" s="24"/>
      <c r="C37" s="35"/>
      <c r="D37" s="35"/>
      <c r="E37" s="37"/>
      <c r="F37" s="37"/>
      <c r="G37" s="21"/>
      <c r="H37" s="21"/>
      <c r="I37" s="21"/>
      <c r="J37" s="43">
        <f>IFERROR(DATE((LEFT(B37,4)),MID(B37,5,2),RIGHT(B37,2)),"")</f>
        <v>25569.1875</v>
      </c>
      <c r="K37" s="21"/>
      <c r="L37" s="49">
        <f>IF(A37="Total Hours","",IF(J37="",L36,J37))</f>
        <v>25569.1875</v>
      </c>
      <c r="M37" s="50">
        <f>A37</f>
      </c>
      <c r="N37" s="17">
        <f>IF(C37="",IF(U37="",C37,""),C37)</f>
        <v>25569.1875</v>
      </c>
      <c r="O37" s="17">
        <f>IF(D37="",IF(U37="",D37,""),D37)</f>
        <v>25569.1875</v>
      </c>
      <c r="P37" s="17">
        <f>IFERROR(IF(N37&gt;O37,G37,O37-N37),"")</f>
        <v>25569.1875</v>
      </c>
      <c r="Q37" s="17">
        <f>IF(U37="",TIME(0,30,0),"")</f>
        <v>25569.1875</v>
      </c>
      <c r="R37" s="17">
        <f>IFERROR(IF(OR(IFERROR((P37-Q37)&lt;0,""),P37="Missing OUT"),"ATTENTION",P37-Q37),"")</f>
        <v>25569.1875</v>
      </c>
      <c r="S37" s="17">
        <f>TIME(8,0,0)</f>
        <v>25569.1875</v>
      </c>
      <c r="T37" s="17">
        <f>IFERROR(IF(R37="ATTENTION",TIME(8,0,0),IF(S37&gt;R37,S37-R37,R37-S37)),"")</f>
        <v>25569.1875</v>
      </c>
      <c r="U37" s="18">
        <f>IFERROR(VLOOKUP(L37,Calendar!$A$2:$C$261,3,0),"")</f>
      </c>
      <c r="V37" s="19">
        <f>IF(AND(LEN(C37)&gt;0,LEN(D37)=0),"NO CHECK-OUT","")</f>
      </c>
      <c r="W37" s="20">
        <f>IFERROR(IF(R37="",W36,IF(R37="ATTENTION",W36-S37,IF(S37&gt;R37,W36-T37,W36+T37))),"")</f>
        <v>25569.1875</v>
      </c>
    </row>
    <row x14ac:dyDescent="0.25" r="38" customHeight="1" ht="17.25">
      <c r="A38" s="21"/>
      <c r="B38" s="24"/>
      <c r="C38" s="35"/>
      <c r="D38" s="35"/>
      <c r="E38" s="37"/>
      <c r="F38" s="37"/>
      <c r="G38" s="21"/>
      <c r="H38" s="21"/>
      <c r="I38" s="21"/>
      <c r="J38" s="43">
        <f>IFERROR(DATE((LEFT(B38,4)),MID(B38,5,2),RIGHT(B38,2)),"")</f>
        <v>25569.1875</v>
      </c>
      <c r="K38" s="21"/>
      <c r="L38" s="49">
        <f>IF(A38="Total Hours","",IF(J38="",L37,J38))</f>
        <v>25569.1875</v>
      </c>
      <c r="M38" s="50">
        <f>A38</f>
      </c>
      <c r="N38" s="17">
        <f>IF(C38="",IF(U38="",C38,""),C38)</f>
        <v>25569.1875</v>
      </c>
      <c r="O38" s="17">
        <f>IF(D38="",IF(U38="",D38,""),D38)</f>
        <v>25569.1875</v>
      </c>
      <c r="P38" s="17">
        <f>IFERROR(IF(N38&gt;O38,G38,O38-N38),"")</f>
        <v>25569.1875</v>
      </c>
      <c r="Q38" s="17">
        <f>IF(U38="",TIME(0,30,0),"")</f>
        <v>25569.1875</v>
      </c>
      <c r="R38" s="17">
        <f>IFERROR(IF(OR(IFERROR((P38-Q38)&lt;0,""),P38="Missing OUT"),"ATTENTION",P38-Q38),"")</f>
        <v>25569.1875</v>
      </c>
      <c r="S38" s="17">
        <f>TIME(8,0,0)</f>
        <v>25569.1875</v>
      </c>
      <c r="T38" s="17">
        <f>IFERROR(IF(R38="ATTENTION",TIME(8,0,0),IF(S38&gt;R38,S38-R38,R38-S38)),"")</f>
        <v>25569.1875</v>
      </c>
      <c r="U38" s="18">
        <f>IFERROR(VLOOKUP(L38,Calendar!$A$2:$C$261,3,0),"")</f>
      </c>
      <c r="V38" s="19">
        <f>IF(AND(LEN(C38)&gt;0,LEN(D38)=0),"NO CHECK-OUT","")</f>
      </c>
      <c r="W38" s="20">
        <f>IFERROR(IF(R38="",W37,IF(R38="ATTENTION",W37-S38,IF(S38&gt;R38,W37-T38,W37+T38))),"")</f>
        <v>25569.1875</v>
      </c>
    </row>
    <row x14ac:dyDescent="0.25" r="39" customHeight="1" ht="17.25">
      <c r="A39" s="21"/>
      <c r="B39" s="24"/>
      <c r="C39" s="35"/>
      <c r="D39" s="35"/>
      <c r="E39" s="37"/>
      <c r="F39" s="37"/>
      <c r="G39" s="21"/>
      <c r="H39" s="21"/>
      <c r="I39" s="21"/>
      <c r="J39" s="43">
        <f>IFERROR(DATE((LEFT(B39,4)),MID(B39,5,2),RIGHT(B39,2)),"")</f>
        <v>25569.1875</v>
      </c>
      <c r="K39" s="21"/>
      <c r="L39" s="49">
        <f>IF(A39="Total Hours","",IF(J39="",L38,J39))</f>
        <v>25569.1875</v>
      </c>
      <c r="M39" s="50">
        <f>A39</f>
      </c>
      <c r="N39" s="17">
        <f>IF(C39="",IF(U39="",C39,""),C39)</f>
        <v>25569.1875</v>
      </c>
      <c r="O39" s="17">
        <f>IF(D39="",IF(U39="",D39,""),D39)</f>
        <v>25569.1875</v>
      </c>
      <c r="P39" s="17">
        <f>IFERROR(IF(N39&gt;O39,G39,O39-N39),"")</f>
        <v>25569.1875</v>
      </c>
      <c r="Q39" s="17">
        <f>IF(U39="",TIME(0,30,0),"")</f>
        <v>25569.1875</v>
      </c>
      <c r="R39" s="17">
        <f>IFERROR(IF(OR(IFERROR((P39-Q39)&lt;0,""),P39="Missing OUT"),"ATTENTION",P39-Q39),"")</f>
        <v>25569.1875</v>
      </c>
      <c r="S39" s="17">
        <f>TIME(8,0,0)</f>
        <v>25569.1875</v>
      </c>
      <c r="T39" s="17">
        <f>IFERROR(IF(R39="ATTENTION",TIME(8,0,0),IF(S39&gt;R39,S39-R39,R39-S39)),"")</f>
        <v>25569.1875</v>
      </c>
      <c r="U39" s="18">
        <f>IFERROR(VLOOKUP(L39,Calendar!$A$2:$C$261,3,0),"")</f>
      </c>
      <c r="V39" s="19">
        <f>IF(AND(LEN(C39)&gt;0,LEN(D39)=0),"NO CHECK-OUT","")</f>
      </c>
      <c r="W39" s="20">
        <f>IFERROR(IF(R39="",W38,IF(R39="ATTENTION",W38-S39,IF(S39&gt;R39,W38-T39,W38+T39))),"")</f>
        <v>25569.1875</v>
      </c>
    </row>
    <row x14ac:dyDescent="0.25" r="40" customHeight="1" ht="17.25">
      <c r="A40" s="21"/>
      <c r="B40" s="24"/>
      <c r="C40" s="35"/>
      <c r="D40" s="35"/>
      <c r="E40" s="37"/>
      <c r="F40" s="37"/>
      <c r="G40" s="21"/>
      <c r="H40" s="21"/>
      <c r="I40" s="21"/>
      <c r="J40" s="43">
        <f>IFERROR(DATE((LEFT(B40,4)),MID(B40,5,2),RIGHT(B40,2)),"")</f>
        <v>25569.1875</v>
      </c>
      <c r="K40" s="21"/>
      <c r="L40" s="49">
        <f>IF(A40="Total Hours","",IF(J40="",L39,J40))</f>
        <v>25569.1875</v>
      </c>
      <c r="M40" s="50">
        <f>A40</f>
      </c>
      <c r="N40" s="17">
        <f>IF(C40="",IF(U40="",C40,""),C40)</f>
        <v>25569.1875</v>
      </c>
      <c r="O40" s="17">
        <f>IF(D40="",IF(U40="",D40,""),D40)</f>
        <v>25569.1875</v>
      </c>
      <c r="P40" s="17">
        <f>IFERROR(IF(N40&gt;O40,G40,O40-N40),"")</f>
        <v>25569.1875</v>
      </c>
      <c r="Q40" s="17">
        <f>IF(U40="",TIME(0,30,0),"")</f>
        <v>25569.1875</v>
      </c>
      <c r="R40" s="17">
        <f>IFERROR(IF(OR(IFERROR((P40-Q40)&lt;0,""),P40="Missing OUT"),"ATTENTION",P40-Q40),"")</f>
        <v>25569.1875</v>
      </c>
      <c r="S40" s="17">
        <f>TIME(8,0,0)</f>
        <v>25569.1875</v>
      </c>
      <c r="T40" s="17">
        <f>IFERROR(IF(R40="ATTENTION",TIME(8,0,0),IF(S40&gt;R40,S40-R40,R40-S40)),"")</f>
        <v>25569.1875</v>
      </c>
      <c r="U40" s="18">
        <f>IFERROR(VLOOKUP(L40,Calendar!$A$2:$C$261,3,0),"")</f>
      </c>
      <c r="V40" s="19">
        <f>IF(AND(LEN(C40)&gt;0,LEN(D40)=0),"NO CHECK-OUT","")</f>
      </c>
      <c r="W40" s="20">
        <f>IFERROR(IF(R40="",W39,IF(R40="ATTENTION",W39-S40,IF(S40&gt;R40,W39-T40,W39+T40))),"")</f>
        <v>25569.1875</v>
      </c>
    </row>
    <row x14ac:dyDescent="0.25" r="41" customHeight="1" ht="17.25">
      <c r="A41" s="21"/>
      <c r="B41" s="24"/>
      <c r="C41" s="35"/>
      <c r="D41" s="35"/>
      <c r="E41" s="37"/>
      <c r="F41" s="37"/>
      <c r="G41" s="21"/>
      <c r="H41" s="21"/>
      <c r="I41" s="21"/>
      <c r="J41" s="43">
        <f>IFERROR(DATE((LEFT(B41,4)),MID(B41,5,2),RIGHT(B41,2)),"")</f>
        <v>25569.1875</v>
      </c>
      <c r="K41" s="21"/>
      <c r="L41" s="49">
        <f>IF(A41="Total Hours","",IF(J41="",L40,J41))</f>
        <v>25569.1875</v>
      </c>
      <c r="M41" s="50">
        <f>A41</f>
      </c>
      <c r="N41" s="17">
        <f>IF(C41="",IF(U41="",C41,""),C41)</f>
        <v>25569.1875</v>
      </c>
      <c r="O41" s="17">
        <f>IF(D41="",IF(U41="",D41,""),D41)</f>
        <v>25569.1875</v>
      </c>
      <c r="P41" s="17">
        <f>IFERROR(IF(N41&gt;O41,G41,O41-N41),"")</f>
        <v>25569.1875</v>
      </c>
      <c r="Q41" s="17">
        <f>IF(U41="",TIME(0,30,0),"")</f>
        <v>25569.1875</v>
      </c>
      <c r="R41" s="17">
        <f>IFERROR(IF(OR(IFERROR((P41-Q41)&lt;0,""),P41="Missing OUT"),"ATTENTION",P41-Q41),"")</f>
        <v>25569.1875</v>
      </c>
      <c r="S41" s="17">
        <f>TIME(8,0,0)</f>
        <v>25569.1875</v>
      </c>
      <c r="T41" s="17">
        <f>IFERROR(IF(R41="ATTENTION",TIME(8,0,0),IF(S41&gt;R41,S41-R41,R41-S41)),"")</f>
        <v>25569.1875</v>
      </c>
      <c r="U41" s="18">
        <f>IFERROR(VLOOKUP(L41,Calendar!$A$2:$C$261,3,0),"")</f>
      </c>
      <c r="V41" s="19">
        <f>IF(AND(LEN(C41)&gt;0,LEN(D41)=0),"NO CHECK-OUT","")</f>
      </c>
      <c r="W41" s="20">
        <f>IFERROR(IF(R41="",W40,IF(R41="ATTENTION",W40-S41,IF(S41&gt;R41,W40-T41,W40+T41))),"")</f>
        <v>25569.1875</v>
      </c>
    </row>
    <row x14ac:dyDescent="0.25" r="42" customHeight="1" ht="17.25">
      <c r="A42" s="21"/>
      <c r="B42" s="24"/>
      <c r="C42" s="35"/>
      <c r="D42" s="35"/>
      <c r="E42" s="37"/>
      <c r="F42" s="37"/>
      <c r="G42" s="21"/>
      <c r="H42" s="21"/>
      <c r="I42" s="21"/>
      <c r="J42" s="43">
        <f>IFERROR(DATE((LEFT(B42,4)),MID(B42,5,2),RIGHT(B42,2)),"")</f>
        <v>25569.1875</v>
      </c>
      <c r="K42" s="21"/>
      <c r="L42" s="49">
        <f>IF(A42="Total Hours","",IF(J42="",L41,J42))</f>
        <v>25569.1875</v>
      </c>
      <c r="M42" s="50">
        <f>A42</f>
      </c>
      <c r="N42" s="17">
        <f>IF(C42="",IF(U42="",C42,""),C42)</f>
        <v>25569.1875</v>
      </c>
      <c r="O42" s="17">
        <f>IF(D42="",IF(U42="",D42,""),D42)</f>
        <v>25569.1875</v>
      </c>
      <c r="P42" s="17">
        <f>IFERROR(IF(N42&gt;O42,G42,O42-N42),"")</f>
        <v>25569.1875</v>
      </c>
      <c r="Q42" s="17">
        <f>IF(U42="",TIME(0,30,0),"")</f>
        <v>25569.1875</v>
      </c>
      <c r="R42" s="17">
        <f>IFERROR(IF(OR(IFERROR((P42-Q42)&lt;0,""),P42="Missing OUT"),"ATTENTION",P42-Q42),"")</f>
        <v>25569.1875</v>
      </c>
      <c r="S42" s="17">
        <f>TIME(8,0,0)</f>
        <v>25569.1875</v>
      </c>
      <c r="T42" s="17">
        <f>IFERROR(IF(R42="ATTENTION",TIME(8,0,0),IF(S42&gt;R42,S42-R42,R42-S42)),"")</f>
        <v>25569.1875</v>
      </c>
      <c r="U42" s="18">
        <f>IFERROR(VLOOKUP(L42,Calendar!$A$2:$C$261,3,0),"")</f>
      </c>
      <c r="V42" s="19">
        <f>IF(AND(LEN(C42)&gt;0,LEN(D42)=0),"NO CHECK-OUT","")</f>
      </c>
      <c r="W42" s="20">
        <f>IFERROR(IF(R42="",W41,IF(R42="ATTENTION",W41-S42,IF(S42&gt;R42,W41-T42,W41+T42))),"")</f>
        <v>25569.1875</v>
      </c>
    </row>
    <row x14ac:dyDescent="0.25" r="43" customHeight="1" ht="17.25">
      <c r="A43" s="21"/>
      <c r="B43" s="24"/>
      <c r="C43" s="35"/>
      <c r="D43" s="35"/>
      <c r="E43" s="37"/>
      <c r="F43" s="37"/>
      <c r="G43" s="21"/>
      <c r="H43" s="21"/>
      <c r="I43" s="21"/>
      <c r="J43" s="43">
        <f>IFERROR(DATE((LEFT(B43,4)),MID(B43,5,2),RIGHT(B43,2)),"")</f>
        <v>25569.1875</v>
      </c>
      <c r="K43" s="21"/>
      <c r="L43" s="49">
        <f>IF(A43="Total Hours","",IF(J43="",L42,J43))</f>
        <v>25569.1875</v>
      </c>
      <c r="M43" s="50">
        <f>A43</f>
      </c>
      <c r="N43" s="17">
        <f>IF(C43="",IF(U43="",C43,""),C43)</f>
        <v>25569.1875</v>
      </c>
      <c r="O43" s="17">
        <f>IF(D43="",IF(U43="",D43,""),D43)</f>
        <v>25569.1875</v>
      </c>
      <c r="P43" s="17">
        <f>IFERROR(IF(N43&gt;O43,G43,O43-N43),"")</f>
        <v>25569.1875</v>
      </c>
      <c r="Q43" s="17">
        <f>IF(U43="",TIME(0,30,0),"")</f>
        <v>25569.1875</v>
      </c>
      <c r="R43" s="17">
        <f>IFERROR(IF(OR(IFERROR((P43-Q43)&lt;0,""),P43="Missing OUT"),"ATTENTION",P43-Q43),"")</f>
        <v>25569.1875</v>
      </c>
      <c r="S43" s="17">
        <f>TIME(8,0,0)</f>
        <v>25569.1875</v>
      </c>
      <c r="T43" s="17">
        <f>IFERROR(IF(R43="ATTENTION",TIME(8,0,0),IF(S43&gt;R43,S43-R43,R43-S43)),"")</f>
        <v>25569.1875</v>
      </c>
      <c r="U43" s="18">
        <f>IFERROR(VLOOKUP(L43,Calendar!$A$2:$C$261,3,0),"")</f>
      </c>
      <c r="V43" s="19">
        <f>IF(AND(LEN(C43)&gt;0,LEN(D43)=0),"NO CHECK-OUT","")</f>
      </c>
      <c r="W43" s="20">
        <f>IFERROR(IF(R43="",W42,IF(R43="ATTENTION",W42-S43,IF(S43&gt;R43,W42-T43,W42+T43))),"")</f>
        <v>25569.1875</v>
      </c>
    </row>
    <row x14ac:dyDescent="0.25" r="44" customHeight="1" ht="17.25">
      <c r="A44" s="21"/>
      <c r="B44" s="24"/>
      <c r="C44" s="35"/>
      <c r="D44" s="35"/>
      <c r="E44" s="37"/>
      <c r="F44" s="37"/>
      <c r="G44" s="21"/>
      <c r="H44" s="21"/>
      <c r="I44" s="21"/>
      <c r="J44" s="43">
        <f>IFERROR(DATE((LEFT(B44,4)),MID(B44,5,2),RIGHT(B44,2)),"")</f>
        <v>25569.1875</v>
      </c>
      <c r="K44" s="21"/>
      <c r="L44" s="49">
        <f>IF(A44="Total Hours","",IF(J44="",L43,J44))</f>
        <v>25569.1875</v>
      </c>
      <c r="M44" s="50">
        <f>A44</f>
      </c>
      <c r="N44" s="17">
        <f>IF(C44="",IF(U44="",C44,""),C44)</f>
        <v>25569.1875</v>
      </c>
      <c r="O44" s="17">
        <f>IF(D44="",IF(U44="",D44,""),D44)</f>
        <v>25569.1875</v>
      </c>
      <c r="P44" s="17">
        <f>IFERROR(IF(N44&gt;O44,G44,O44-N44),"")</f>
        <v>25569.1875</v>
      </c>
      <c r="Q44" s="17">
        <f>IF(U44="",TIME(0,30,0),"")</f>
        <v>25569.1875</v>
      </c>
      <c r="R44" s="17">
        <f>IFERROR(IF(OR(IFERROR((P44-Q44)&lt;0,""),P44="Missing OUT"),"ATTENTION",P44-Q44),"")</f>
        <v>25569.1875</v>
      </c>
      <c r="S44" s="17">
        <f>TIME(8,0,0)</f>
        <v>25569.1875</v>
      </c>
      <c r="T44" s="17">
        <f>IFERROR(IF(R44="ATTENTION",TIME(8,0,0),IF(S44&gt;R44,S44-R44,R44-S44)),"")</f>
        <v>25569.1875</v>
      </c>
      <c r="U44" s="18">
        <f>IFERROR(VLOOKUP(L44,Calendar!$A$2:$C$261,3,0),"")</f>
      </c>
      <c r="V44" s="19">
        <f>IF(AND(LEN(C44)&gt;0,LEN(D44)=0),"NO CHECK-OUT","")</f>
      </c>
      <c r="W44" s="20">
        <f>IFERROR(IF(R44="",W43,IF(R44="ATTENTION",W43-S44,IF(S44&gt;R44,W43-T44,W43+T44))),"")</f>
        <v>25569.1875</v>
      </c>
    </row>
    <row x14ac:dyDescent="0.25" r="45" customHeight="1" ht="17.25">
      <c r="A45" s="21"/>
      <c r="B45" s="24"/>
      <c r="C45" s="35"/>
      <c r="D45" s="35"/>
      <c r="E45" s="37"/>
      <c r="F45" s="37"/>
      <c r="G45" s="21"/>
      <c r="H45" s="21"/>
      <c r="I45" s="21"/>
      <c r="J45" s="43">
        <f>IFERROR(DATE((LEFT(B45,4)),MID(B45,5,2),RIGHT(B45,2)),"")</f>
        <v>25569.1875</v>
      </c>
      <c r="K45" s="21"/>
      <c r="L45" s="49">
        <f>IF(A45="Total Hours","",IF(J45="",L44,J45))</f>
        <v>25569.1875</v>
      </c>
      <c r="M45" s="50">
        <f>A45</f>
      </c>
      <c r="N45" s="17">
        <f>IF(C45="",IF(U45="",C45,""),C45)</f>
        <v>25569.1875</v>
      </c>
      <c r="O45" s="17">
        <f>IF(D45="",IF(U45="",D45,""),D45)</f>
        <v>25569.1875</v>
      </c>
      <c r="P45" s="17">
        <f>IFERROR(IF(N45&gt;O45,G45,O45-N45),"")</f>
        <v>25569.1875</v>
      </c>
      <c r="Q45" s="17">
        <f>IF(U45="",TIME(0,30,0),"")</f>
        <v>25569.1875</v>
      </c>
      <c r="R45" s="17">
        <f>IFERROR(IF(OR(IFERROR((P45-Q45)&lt;0,""),P45="Missing OUT"),"ATTENTION",P45-Q45),"")</f>
        <v>25569.1875</v>
      </c>
      <c r="S45" s="17">
        <f>TIME(8,0,0)</f>
        <v>25569.1875</v>
      </c>
      <c r="T45" s="17">
        <f>IFERROR(IF(R45="ATTENTION",TIME(8,0,0),IF(S45&gt;R45,S45-R45,R45-S45)),"")</f>
        <v>25569.1875</v>
      </c>
      <c r="U45" s="18">
        <f>IFERROR(VLOOKUP(L45,Calendar!$A$2:$C$261,3,0),"")</f>
      </c>
      <c r="V45" s="19">
        <f>IF(AND(LEN(C45)&gt;0,LEN(D45)=0),"NO CHECK-OUT","")</f>
      </c>
      <c r="W45" s="20">
        <f>IFERROR(IF(R45="",W44,IF(R45="ATTENTION",W44-S45,IF(S45&gt;R45,W44-T45,W44+T45))),"")</f>
        <v>25569.1875</v>
      </c>
    </row>
    <row x14ac:dyDescent="0.25" r="46" customHeight="1" ht="17.25">
      <c r="A46" s="21"/>
      <c r="B46" s="24"/>
      <c r="C46" s="35"/>
      <c r="D46" s="35"/>
      <c r="E46" s="37"/>
      <c r="F46" s="37"/>
      <c r="G46" s="21"/>
      <c r="H46" s="21"/>
      <c r="I46" s="21"/>
      <c r="J46" s="43">
        <f>IFERROR(DATE((LEFT(B46,4)),MID(B46,5,2),RIGHT(B46,2)),"")</f>
        <v>25569.1875</v>
      </c>
      <c r="K46" s="21"/>
      <c r="L46" s="49">
        <f>IF(A46="Total Hours","",IF(J46="",L45,J46))</f>
        <v>25569.1875</v>
      </c>
      <c r="M46" s="50">
        <f>A46</f>
      </c>
      <c r="N46" s="17">
        <f>IF(C46="",IF(U46="",C46,""),C46)</f>
        <v>25569.1875</v>
      </c>
      <c r="O46" s="17">
        <f>IF(D46="",IF(U46="",D46,""),D46)</f>
        <v>25569.1875</v>
      </c>
      <c r="P46" s="17">
        <f>IFERROR(IF(N46&gt;O46,G46,O46-N46),"")</f>
        <v>25569.1875</v>
      </c>
      <c r="Q46" s="17">
        <f>IF(U46="",TIME(0,30,0),"")</f>
        <v>25569.1875</v>
      </c>
      <c r="R46" s="17">
        <f>IFERROR(IF(OR(IFERROR((P46-Q46)&lt;0,""),P46="Missing OUT"),"ATTENTION",P46-Q46),"")</f>
        <v>25569.1875</v>
      </c>
      <c r="S46" s="17">
        <f>TIME(8,0,0)</f>
        <v>25569.1875</v>
      </c>
      <c r="T46" s="17">
        <f>IFERROR(IF(R46="ATTENTION",TIME(8,0,0),IF(S46&gt;R46,S46-R46,R46-S46)),"")</f>
        <v>25569.1875</v>
      </c>
      <c r="U46" s="18">
        <f>IFERROR(VLOOKUP(L46,Calendar!$A$2:$C$261,3,0),"")</f>
      </c>
      <c r="V46" s="19">
        <f>IF(AND(LEN(C46)&gt;0,LEN(D46)=0),"NO CHECK-OUT","")</f>
      </c>
      <c r="W46" s="20">
        <f>IFERROR(IF(R46="",W45,IF(R46="ATTENTION",W45-S46,IF(S46&gt;R46,W45-T46,W45+T46))),"")</f>
        <v>25569.1875</v>
      </c>
    </row>
    <row x14ac:dyDescent="0.25" r="47" customHeight="1" ht="17.25">
      <c r="A47" s="21"/>
      <c r="B47" s="24"/>
      <c r="C47" s="35"/>
      <c r="D47" s="35"/>
      <c r="E47" s="37"/>
      <c r="F47" s="37"/>
      <c r="G47" s="21"/>
      <c r="H47" s="21"/>
      <c r="I47" s="21"/>
      <c r="J47" s="43">
        <f>IFERROR(DATE((LEFT(B47,4)),MID(B47,5,2),RIGHT(B47,2)),"")</f>
        <v>25569.1875</v>
      </c>
      <c r="K47" s="21"/>
      <c r="L47" s="49">
        <f>IF(A47="Total Hours","",IF(J47="",L46,J47))</f>
        <v>25569.1875</v>
      </c>
      <c r="M47" s="50">
        <f>A47</f>
      </c>
      <c r="N47" s="17">
        <f>IF(C47="",IF(U47="",C47,""),C47)</f>
        <v>25569.1875</v>
      </c>
      <c r="O47" s="17">
        <f>IF(D47="",IF(U47="",D47,""),D47)</f>
        <v>25569.1875</v>
      </c>
      <c r="P47" s="17">
        <f>IFERROR(IF(N47&gt;O47,G47,O47-N47),"")</f>
        <v>25569.1875</v>
      </c>
      <c r="Q47" s="17">
        <f>IF(U47="",TIME(0,30,0),"")</f>
        <v>25569.1875</v>
      </c>
      <c r="R47" s="17">
        <f>IFERROR(IF(OR(IFERROR((P47-Q47)&lt;0,""),P47="Missing OUT"),"ATTENTION",P47-Q47),"")</f>
        <v>25569.1875</v>
      </c>
      <c r="S47" s="17">
        <f>TIME(8,0,0)</f>
        <v>25569.1875</v>
      </c>
      <c r="T47" s="17">
        <f>IFERROR(IF(R47="ATTENTION",TIME(8,0,0),IF(S47&gt;R47,S47-R47,R47-S47)),"")</f>
        <v>25569.1875</v>
      </c>
      <c r="U47" s="18">
        <f>IFERROR(VLOOKUP(L47,Calendar!$A$2:$C$261,3,0),"")</f>
      </c>
      <c r="V47" s="19">
        <f>IF(AND(LEN(C47)&gt;0,LEN(D47)=0),"NO CHECK-OUT","")</f>
      </c>
      <c r="W47" s="20">
        <f>IFERROR(IF(R47="",W46,IF(R47="ATTENTION",W46-S47,IF(S47&gt;R47,W46-T47,W46+T47))),"")</f>
        <v>25569.1875</v>
      </c>
    </row>
    <row x14ac:dyDescent="0.25" r="48" customHeight="1" ht="17.25">
      <c r="A48" s="21"/>
      <c r="B48" s="24"/>
      <c r="C48" s="35"/>
      <c r="D48" s="35"/>
      <c r="E48" s="37"/>
      <c r="F48" s="37"/>
      <c r="G48" s="21"/>
      <c r="H48" s="21"/>
      <c r="I48" s="21"/>
      <c r="J48" s="43">
        <f>IFERROR(DATE((LEFT(B48,4)),MID(B48,5,2),RIGHT(B48,2)),"")</f>
        <v>25569.1875</v>
      </c>
      <c r="K48" s="21"/>
      <c r="L48" s="49">
        <f>IF(A48="Total Hours","",IF(J48="",L47,J48))</f>
        <v>25569.1875</v>
      </c>
      <c r="M48" s="50">
        <f>A48</f>
      </c>
      <c r="N48" s="17">
        <f>IF(C48="",IF(U48="",C48,""),C48)</f>
        <v>25569.1875</v>
      </c>
      <c r="O48" s="17">
        <f>IF(D48="",IF(U48="",D48,""),D48)</f>
        <v>25569.1875</v>
      </c>
      <c r="P48" s="17">
        <f>IFERROR(IF(N48&gt;O48,G48,O48-N48),"")</f>
        <v>25569.1875</v>
      </c>
      <c r="Q48" s="17">
        <f>IF(U48="",TIME(0,30,0),"")</f>
        <v>25569.1875</v>
      </c>
      <c r="R48" s="17">
        <f>IFERROR(IF(OR(IFERROR((P48-Q48)&lt;0,""),P48="Missing OUT"),"ATTENTION",P48-Q48),"")</f>
        <v>25569.1875</v>
      </c>
      <c r="S48" s="17">
        <f>TIME(8,0,0)</f>
        <v>25569.1875</v>
      </c>
      <c r="T48" s="17">
        <f>IFERROR(IF(R48="ATTENTION",TIME(8,0,0),IF(S48&gt;R48,S48-R48,R48-S48)),"")</f>
        <v>25569.1875</v>
      </c>
      <c r="U48" s="18">
        <f>IFERROR(VLOOKUP(L48,Calendar!$A$2:$C$261,3,0),"")</f>
      </c>
      <c r="V48" s="19">
        <f>IF(AND(LEN(C48)&gt;0,LEN(D48)=0),"NO CHECK-OUT","")</f>
      </c>
      <c r="W48" s="20">
        <f>IFERROR(IF(R48="",W47,IF(R48="ATTENTION",W47-S48,IF(S48&gt;R48,W47-T48,W47+T48))),"")</f>
        <v>25569.1875</v>
      </c>
    </row>
    <row x14ac:dyDescent="0.25" r="49" customHeight="1" ht="17.25">
      <c r="A49" s="21"/>
      <c r="B49" s="24"/>
      <c r="C49" s="35"/>
      <c r="D49" s="35"/>
      <c r="E49" s="37"/>
      <c r="F49" s="37"/>
      <c r="G49" s="21"/>
      <c r="H49" s="21"/>
      <c r="I49" s="21"/>
      <c r="J49" s="43">
        <f>IFERROR(DATE((LEFT(B49,4)),MID(B49,5,2),RIGHT(B49,2)),"")</f>
        <v>25569.1875</v>
      </c>
      <c r="K49" s="21"/>
      <c r="L49" s="49">
        <f>IF(A49="Total Hours","",IF(J49="",L48,J49))</f>
        <v>25569.1875</v>
      </c>
      <c r="M49" s="50">
        <f>A49</f>
      </c>
      <c r="N49" s="17">
        <f>IF(C49="",IF(U49="",C49,""),C49)</f>
        <v>25569.1875</v>
      </c>
      <c r="O49" s="17">
        <f>IF(D49="",IF(U49="",D49,""),D49)</f>
        <v>25569.1875</v>
      </c>
      <c r="P49" s="17">
        <f>IFERROR(IF(N49&gt;O49,G49,O49-N49),"")</f>
        <v>25569.1875</v>
      </c>
      <c r="Q49" s="17">
        <f>IF(U49="",TIME(0,30,0),"")</f>
        <v>25569.1875</v>
      </c>
      <c r="R49" s="17">
        <f>IFERROR(IF(OR(IFERROR((P49-Q49)&lt;0,""),P49="Missing OUT"),"ATTENTION",P49-Q49),"")</f>
        <v>25569.1875</v>
      </c>
      <c r="S49" s="17">
        <f>TIME(8,0,0)</f>
        <v>25569.1875</v>
      </c>
      <c r="T49" s="17">
        <f>IFERROR(IF(R49="ATTENTION",TIME(8,0,0),IF(S49&gt;R49,S49-R49,R49-S49)),"")</f>
        <v>25569.1875</v>
      </c>
      <c r="U49" s="18">
        <f>IFERROR(VLOOKUP(L49,Calendar!$A$2:$C$261,3,0),"")</f>
      </c>
      <c r="V49" s="19">
        <f>IF(AND(LEN(C49)&gt;0,LEN(D49)=0),"NO CHECK-OUT","")</f>
      </c>
      <c r="W49" s="20">
        <f>IFERROR(IF(R49="",W48,IF(R49="ATTENTION",W48-S49,IF(S49&gt;R49,W48-T49,W48+T49))),"")</f>
        <v>25569.1875</v>
      </c>
    </row>
    <row x14ac:dyDescent="0.25" r="50" customHeight="1" ht="17.25">
      <c r="A50" s="21"/>
      <c r="B50" s="24"/>
      <c r="C50" s="35"/>
      <c r="D50" s="35"/>
      <c r="E50" s="37"/>
      <c r="F50" s="37"/>
      <c r="G50" s="21"/>
      <c r="H50" s="21"/>
      <c r="I50" s="21"/>
      <c r="J50" s="43">
        <f>IFERROR(DATE((LEFT(B50,4)),MID(B50,5,2),RIGHT(B50,2)),"")</f>
        <v>25569.1875</v>
      </c>
      <c r="K50" s="21"/>
      <c r="L50" s="49">
        <f>IF(A50="Total Hours","",IF(J50="",L49,J50))</f>
        <v>25569.1875</v>
      </c>
      <c r="M50" s="50">
        <f>A50</f>
      </c>
      <c r="N50" s="17">
        <f>IF(C50="",IF(U50="",C50,""),C50)</f>
        <v>25569.1875</v>
      </c>
      <c r="O50" s="17">
        <f>IF(D50="",IF(U50="",D50,""),D50)</f>
        <v>25569.1875</v>
      </c>
      <c r="P50" s="17">
        <f>IFERROR(IF(N50&gt;O50,G50,O50-N50),"")</f>
        <v>25569.1875</v>
      </c>
      <c r="Q50" s="17">
        <f>IF(U50="",TIME(0,30,0),"")</f>
        <v>25569.1875</v>
      </c>
      <c r="R50" s="17">
        <f>IFERROR(IF(OR(IFERROR((P50-Q50)&lt;0,""),P50="Missing OUT"),"ATTENTION",P50-Q50),"")</f>
        <v>25569.1875</v>
      </c>
      <c r="S50" s="17">
        <f>TIME(8,0,0)</f>
        <v>25569.1875</v>
      </c>
      <c r="T50" s="17">
        <f>IFERROR(IF(R50="ATTENTION",TIME(8,0,0),IF(S50&gt;R50,S50-R50,R50-S50)),"")</f>
        <v>25569.1875</v>
      </c>
      <c r="U50" s="18">
        <f>IFERROR(VLOOKUP(L50,Calendar!$A$2:$C$261,3,0),"")</f>
      </c>
      <c r="V50" s="19">
        <f>IF(AND(LEN(C50)&gt;0,LEN(D50)=0),"NO CHECK-OUT","")</f>
      </c>
      <c r="W50" s="20">
        <f>IFERROR(IF(R50="",W49,IF(R50="ATTENTION",W49-S50,IF(S50&gt;R50,W49-T50,W49+T50))),"")</f>
        <v>25569.1875</v>
      </c>
    </row>
    <row x14ac:dyDescent="0.25" r="51" customHeight="1" ht="17.25">
      <c r="A51" s="21"/>
      <c r="B51" s="24"/>
      <c r="C51" s="35"/>
      <c r="D51" s="35"/>
      <c r="E51" s="37"/>
      <c r="F51" s="37"/>
      <c r="G51" s="21"/>
      <c r="H51" s="21"/>
      <c r="I51" s="21"/>
      <c r="J51" s="43">
        <f>IFERROR(DATE((LEFT(B51,4)),MID(B51,5,2),RIGHT(B51,2)),"")</f>
        <v>25569.1875</v>
      </c>
      <c r="K51" s="21"/>
      <c r="L51" s="49">
        <f>IF(A51="Total Hours","",IF(J51="",L50,J51))</f>
        <v>25569.1875</v>
      </c>
      <c r="M51" s="50">
        <f>A51</f>
      </c>
      <c r="N51" s="17">
        <f>IF(C51="",IF(U51="",C51,""),C51)</f>
        <v>25569.1875</v>
      </c>
      <c r="O51" s="17">
        <f>IF(D51="",IF(U51="",D51,""),D51)</f>
        <v>25569.1875</v>
      </c>
      <c r="P51" s="17">
        <f>IFERROR(IF(N51&gt;O51,G51,O51-N51),"")</f>
        <v>25569.1875</v>
      </c>
      <c r="Q51" s="17">
        <f>IF(U51="",TIME(0,30,0),"")</f>
        <v>25569.1875</v>
      </c>
      <c r="R51" s="17">
        <f>IFERROR(IF(OR(IFERROR((P51-Q51)&lt;0,""),P51="Missing OUT"),"ATTENTION",P51-Q51),"")</f>
        <v>25569.1875</v>
      </c>
      <c r="S51" s="17">
        <f>TIME(8,0,0)</f>
        <v>25569.1875</v>
      </c>
      <c r="T51" s="17">
        <f>IFERROR(IF(R51="ATTENTION",TIME(8,0,0),IF(S51&gt;R51,S51-R51,R51-S51)),"")</f>
        <v>25569.1875</v>
      </c>
      <c r="U51" s="18">
        <f>IFERROR(VLOOKUP(L51,Calendar!$A$2:$C$261,3,0),"")</f>
      </c>
      <c r="V51" s="19">
        <f>IF(AND(LEN(C51)&gt;0,LEN(D51)=0),"NO CHECK-OUT","")</f>
      </c>
      <c r="W51" s="20">
        <f>IFERROR(IF(R51="",W50,IF(R51="ATTENTION",W50-S51,IF(S51&gt;R51,W50-T51,W50+T51))),"")</f>
        <v>25569.1875</v>
      </c>
    </row>
    <row x14ac:dyDescent="0.25" r="52" customHeight="1" ht="17.25">
      <c r="A52" s="21"/>
      <c r="B52" s="24"/>
      <c r="C52" s="35"/>
      <c r="D52" s="35"/>
      <c r="E52" s="37"/>
      <c r="F52" s="37"/>
      <c r="G52" s="21"/>
      <c r="H52" s="21"/>
      <c r="I52" s="21"/>
      <c r="J52" s="43">
        <f>IFERROR(DATE((LEFT(B52,4)),MID(B52,5,2),RIGHT(B52,2)),"")</f>
        <v>25569.1875</v>
      </c>
      <c r="K52" s="21"/>
      <c r="L52" s="49">
        <f>IF(A52="Total Hours","",IF(J52="",L51,J52))</f>
        <v>25569.1875</v>
      </c>
      <c r="M52" s="50">
        <f>A52</f>
      </c>
      <c r="N52" s="17">
        <f>IF(C52="",IF(U52="",C52,""),C52)</f>
        <v>25569.1875</v>
      </c>
      <c r="O52" s="17">
        <f>IF(D52="",IF(U52="",D52,""),D52)</f>
        <v>25569.1875</v>
      </c>
      <c r="P52" s="17">
        <f>IFERROR(IF(N52&gt;O52,G52,O52-N52),"")</f>
        <v>25569.1875</v>
      </c>
      <c r="Q52" s="17">
        <f>IF(U52="",TIME(0,30,0),"")</f>
        <v>25569.1875</v>
      </c>
      <c r="R52" s="17">
        <f>IFERROR(IF(OR(IFERROR((P52-Q52)&lt;0,""),P52="Missing OUT"),"ATTENTION",P52-Q52),"")</f>
        <v>25569.1875</v>
      </c>
      <c r="S52" s="17">
        <f>TIME(8,0,0)</f>
        <v>25569.1875</v>
      </c>
      <c r="T52" s="17">
        <f>IFERROR(IF(R52="ATTENTION",TIME(8,0,0),IF(S52&gt;R52,S52-R52,R52-S52)),"")</f>
        <v>25569.1875</v>
      </c>
      <c r="U52" s="18">
        <f>IFERROR(VLOOKUP(L52,Calendar!$A$2:$C$261,3,0),"")</f>
      </c>
      <c r="V52" s="19">
        <f>IF(AND(LEN(C52)&gt;0,LEN(D52)=0),"NO CHECK-OUT","")</f>
      </c>
      <c r="W52" s="20">
        <f>IFERROR(IF(R52="",W51,IF(R52="ATTENTION",W51-S52,IF(S52&gt;R52,W51-T52,W51+T52))),"")</f>
        <v>25569.1875</v>
      </c>
    </row>
    <row x14ac:dyDescent="0.25" r="53" customHeight="1" ht="17.25">
      <c r="A53" s="21"/>
      <c r="B53" s="24"/>
      <c r="C53" s="35"/>
      <c r="D53" s="35"/>
      <c r="E53" s="37"/>
      <c r="F53" s="37"/>
      <c r="G53" s="21"/>
      <c r="H53" s="21"/>
      <c r="I53" s="21"/>
      <c r="J53" s="43">
        <f>IFERROR(DATE((LEFT(B53,4)),MID(B53,5,2),RIGHT(B53,2)),"")</f>
        <v>25569.1875</v>
      </c>
      <c r="K53" s="21"/>
      <c r="L53" s="49">
        <f>IF(A53="Total Hours","",IF(J53="",L52,J53))</f>
        <v>25569.1875</v>
      </c>
      <c r="M53" s="50">
        <f>A53</f>
      </c>
      <c r="N53" s="17">
        <f>IF(C53="",IF(U53="",C53,""),C53)</f>
        <v>25569.1875</v>
      </c>
      <c r="O53" s="17">
        <f>IF(D53="",IF(U53="",D53,""),D53)</f>
        <v>25569.1875</v>
      </c>
      <c r="P53" s="17">
        <f>IFERROR(IF(N53&gt;O53,G53,O53-N53),"")</f>
        <v>25569.1875</v>
      </c>
      <c r="Q53" s="17">
        <f>IF(U53="",TIME(0,30,0),"")</f>
        <v>25569.1875</v>
      </c>
      <c r="R53" s="17">
        <f>IFERROR(IF(OR(IFERROR((P53-Q53)&lt;0,""),P53="Missing OUT"),"ATTENTION",P53-Q53),"")</f>
        <v>25569.1875</v>
      </c>
      <c r="S53" s="17">
        <f>TIME(8,0,0)</f>
        <v>25569.1875</v>
      </c>
      <c r="T53" s="17">
        <f>IFERROR(IF(R53="ATTENTION",TIME(8,0,0),IF(S53&gt;R53,S53-R53,R53-S53)),"")</f>
        <v>25569.1875</v>
      </c>
      <c r="U53" s="18">
        <f>IFERROR(VLOOKUP(L53,Calendar!$A$2:$C$261,3,0),"")</f>
      </c>
      <c r="V53" s="19">
        <f>IF(AND(LEN(C53)&gt;0,LEN(D53)=0),"NO CHECK-OUT","")</f>
      </c>
      <c r="W53" s="20">
        <f>IFERROR(IF(R53="",W52,IF(R53="ATTENTION",W52-S53,IF(S53&gt;R53,W52-T53,W52+T53))),"")</f>
        <v>25569.1875</v>
      </c>
    </row>
    <row x14ac:dyDescent="0.25" r="54" customHeight="1" ht="17.25">
      <c r="A54" s="21"/>
      <c r="B54" s="24"/>
      <c r="C54" s="35"/>
      <c r="D54" s="35"/>
      <c r="E54" s="37"/>
      <c r="F54" s="37"/>
      <c r="G54" s="21"/>
      <c r="H54" s="21"/>
      <c r="I54" s="21"/>
      <c r="J54" s="43">
        <f>IFERROR(DATE((LEFT(B54,4)),MID(B54,5,2),RIGHT(B54,2)),"")</f>
        <v>25569.1875</v>
      </c>
      <c r="K54" s="21"/>
      <c r="L54" s="49">
        <f>IF(A54="Total Hours","",IF(J54="",L53,J54))</f>
        <v>25569.1875</v>
      </c>
      <c r="M54" s="50">
        <f>A54</f>
      </c>
      <c r="N54" s="17">
        <f>IF(C54="",IF(U54="",C54,""),C54)</f>
        <v>25569.1875</v>
      </c>
      <c r="O54" s="17">
        <f>IF(D54="",IF(U54="",D54,""),D54)</f>
        <v>25569.1875</v>
      </c>
      <c r="P54" s="17">
        <f>IFERROR(IF(N54&gt;O54,G54,O54-N54),"")</f>
        <v>25569.1875</v>
      </c>
      <c r="Q54" s="17">
        <f>IF(U54="",TIME(0,30,0),"")</f>
        <v>25569.1875</v>
      </c>
      <c r="R54" s="17">
        <f>IFERROR(IF(OR(IFERROR((P54-Q54)&lt;0,""),P54="Missing OUT"),"ATTENTION",P54-Q54),"")</f>
        <v>25569.1875</v>
      </c>
      <c r="S54" s="17">
        <f>TIME(8,0,0)</f>
        <v>25569.1875</v>
      </c>
      <c r="T54" s="17">
        <f>IFERROR(IF(R54="ATTENTION",TIME(8,0,0),IF(S54&gt;R54,S54-R54,R54-S54)),"")</f>
        <v>25569.1875</v>
      </c>
      <c r="U54" s="18">
        <f>IFERROR(VLOOKUP(L54,Calendar!$A$2:$C$261,3,0),"")</f>
      </c>
      <c r="V54" s="19">
        <f>IF(AND(LEN(C54)&gt;0,LEN(D54)=0),"NO CHECK-OUT","")</f>
      </c>
      <c r="W54" s="20">
        <f>IFERROR(IF(R54="",W53,IF(R54="ATTENTION",W53-S54,IF(S54&gt;R54,W53-T54,W53+T54))),"")</f>
        <v>25569.1875</v>
      </c>
    </row>
    <row x14ac:dyDescent="0.25" r="55" customHeight="1" ht="17.25">
      <c r="A55" s="21"/>
      <c r="B55" s="24"/>
      <c r="C55" s="35"/>
      <c r="D55" s="35"/>
      <c r="E55" s="37"/>
      <c r="F55" s="37"/>
      <c r="G55" s="21"/>
      <c r="H55" s="21"/>
      <c r="I55" s="21"/>
      <c r="J55" s="43">
        <f>IFERROR(DATE((LEFT(B55,4)),MID(B55,5,2),RIGHT(B55,2)),"")</f>
        <v>25569.1875</v>
      </c>
      <c r="K55" s="21"/>
      <c r="L55" s="49">
        <f>IF(A55="Total Hours","",IF(J55="",L54,J55))</f>
        <v>25569.1875</v>
      </c>
      <c r="M55" s="50">
        <f>A55</f>
      </c>
      <c r="N55" s="17">
        <f>IF(C55="",IF(U55="",C55,""),C55)</f>
        <v>25569.1875</v>
      </c>
      <c r="O55" s="17">
        <f>IF(D55="",IF(U55="",D55,""),D55)</f>
        <v>25569.1875</v>
      </c>
      <c r="P55" s="17">
        <f>IFERROR(IF(N55&gt;O55,G55,O55-N55),"")</f>
        <v>25569.1875</v>
      </c>
      <c r="Q55" s="17">
        <f>IF(U55="",TIME(0,30,0),"")</f>
        <v>25569.1875</v>
      </c>
      <c r="R55" s="17">
        <f>IFERROR(IF(OR(IFERROR((P55-Q55)&lt;0,""),P55="Missing OUT"),"ATTENTION",P55-Q55),"")</f>
        <v>25569.1875</v>
      </c>
      <c r="S55" s="17">
        <f>TIME(8,0,0)</f>
        <v>25569.1875</v>
      </c>
      <c r="T55" s="17">
        <f>IFERROR(IF(R55="ATTENTION",TIME(8,0,0),IF(S55&gt;R55,S55-R55,R55-S55)),"")</f>
        <v>25569.1875</v>
      </c>
      <c r="U55" s="18">
        <f>IFERROR(VLOOKUP(L55,Calendar!$A$2:$C$261,3,0),"")</f>
      </c>
      <c r="V55" s="19">
        <f>IF(AND(LEN(C55)&gt;0,LEN(D55)=0),"NO CHECK-OUT","")</f>
      </c>
      <c r="W55" s="20">
        <f>IFERROR(IF(R55="",W54,IF(R55="ATTENTION",W54-S55,IF(S55&gt;R55,W54-T55,W54+T55))),"")</f>
        <v>25569.1875</v>
      </c>
    </row>
    <row x14ac:dyDescent="0.25" r="56" customHeight="1" ht="17.25">
      <c r="A56" s="21"/>
      <c r="B56" s="24"/>
      <c r="C56" s="35"/>
      <c r="D56" s="35"/>
      <c r="E56" s="37"/>
      <c r="F56" s="37"/>
      <c r="G56" s="21"/>
      <c r="H56" s="21"/>
      <c r="I56" s="21"/>
      <c r="J56" s="43">
        <f>IFERROR(DATE((LEFT(B56,4)),MID(B56,5,2),RIGHT(B56,2)),"")</f>
        <v>25569.1875</v>
      </c>
      <c r="K56" s="21"/>
      <c r="L56" s="49">
        <f>IF(A56="Total Hours","",IF(J56="",L55,J56))</f>
        <v>25569.1875</v>
      </c>
      <c r="M56" s="50">
        <f>A56</f>
      </c>
      <c r="N56" s="17">
        <f>IF(C56="",IF(U56="",C56,""),C56)</f>
        <v>25569.1875</v>
      </c>
      <c r="O56" s="17">
        <f>IF(D56="",IF(U56="",D56,""),D56)</f>
        <v>25569.1875</v>
      </c>
      <c r="P56" s="17">
        <f>IFERROR(IF(N56&gt;O56,G56,O56-N56),"")</f>
        <v>25569.1875</v>
      </c>
      <c r="Q56" s="17">
        <f>IF(U56="",TIME(0,30,0),"")</f>
        <v>25569.1875</v>
      </c>
      <c r="R56" s="17">
        <f>IFERROR(IF(OR(IFERROR((P56-Q56)&lt;0,""),P56="Missing OUT"),"ATTENTION",P56-Q56),"")</f>
        <v>25569.1875</v>
      </c>
      <c r="S56" s="17">
        <f>TIME(8,0,0)</f>
        <v>25569.1875</v>
      </c>
      <c r="T56" s="17">
        <f>IFERROR(IF(R56="ATTENTION",TIME(8,0,0),IF(S56&gt;R56,S56-R56,R56-S56)),"")</f>
        <v>25569.1875</v>
      </c>
      <c r="U56" s="18">
        <f>IFERROR(VLOOKUP(L56,Calendar!$A$2:$C$261,3,0),"")</f>
      </c>
      <c r="V56" s="19">
        <f>IF(AND(LEN(C56)&gt;0,LEN(D56)=0),"NO CHECK-OUT","")</f>
      </c>
      <c r="W56" s="20">
        <f>IFERROR(IF(R56="",W55,IF(R56="ATTENTION",W55-S56,IF(S56&gt;R56,W55-T56,W55+T56))),"")</f>
        <v>25569.1875</v>
      </c>
    </row>
    <row x14ac:dyDescent="0.25" r="57" customHeight="1" ht="17.25">
      <c r="A57" s="21"/>
      <c r="B57" s="24"/>
      <c r="C57" s="35"/>
      <c r="D57" s="35"/>
      <c r="E57" s="37"/>
      <c r="F57" s="37"/>
      <c r="G57" s="21"/>
      <c r="H57" s="21"/>
      <c r="I57" s="21"/>
      <c r="J57" s="43">
        <f>IFERROR(DATE((LEFT(B57,4)),MID(B57,5,2),RIGHT(B57,2)),"")</f>
        <v>25569.1875</v>
      </c>
      <c r="K57" s="21"/>
      <c r="L57" s="49">
        <f>IF(A57="Total Hours","",IF(J57="",L56,J57))</f>
        <v>25569.1875</v>
      </c>
      <c r="M57" s="50">
        <f>A57</f>
      </c>
      <c r="N57" s="17">
        <f>IF(C57="",IF(U57="",C57,""),C57)</f>
        <v>25569.1875</v>
      </c>
      <c r="O57" s="17">
        <f>IF(D57="",IF(U57="",D57,""),D57)</f>
        <v>25569.1875</v>
      </c>
      <c r="P57" s="17">
        <f>IFERROR(IF(N57&gt;O57,G57,O57-N57),"")</f>
        <v>25569.1875</v>
      </c>
      <c r="Q57" s="17">
        <f>IF(U57="",TIME(0,30,0),"")</f>
        <v>25569.1875</v>
      </c>
      <c r="R57" s="17">
        <f>IFERROR(IF(OR(IFERROR((P57-Q57)&lt;0,""),P57="Missing OUT"),"ATTENTION",P57-Q57),"")</f>
        <v>25569.1875</v>
      </c>
      <c r="S57" s="17">
        <f>TIME(8,0,0)</f>
        <v>25569.1875</v>
      </c>
      <c r="T57" s="17">
        <f>IFERROR(IF(R57="ATTENTION",TIME(8,0,0),IF(S57&gt;R57,S57-R57,R57-S57)),"")</f>
        <v>25569.1875</v>
      </c>
      <c r="U57" s="18">
        <f>IFERROR(VLOOKUP(L57,Calendar!$A$2:$C$261,3,0),"")</f>
      </c>
      <c r="V57" s="19">
        <f>IF(AND(LEN(C57)&gt;0,LEN(D57)=0),"NO CHECK-OUT","")</f>
      </c>
      <c r="W57" s="20">
        <f>IFERROR(IF(R57="",W56,IF(R57="ATTENTION",W56-S57,IF(S57&gt;R57,W56-T57,W56+T57))),"")</f>
        <v>25569.1875</v>
      </c>
    </row>
    <row x14ac:dyDescent="0.25" r="58" customHeight="1" ht="17.25">
      <c r="A58" s="21"/>
      <c r="B58" s="24"/>
      <c r="C58" s="35"/>
      <c r="D58" s="35"/>
      <c r="E58" s="37"/>
      <c r="F58" s="37"/>
      <c r="G58" s="21"/>
      <c r="H58" s="21"/>
      <c r="I58" s="21"/>
      <c r="J58" s="43">
        <f>IFERROR(DATE((LEFT(B58,4)),MID(B58,5,2),RIGHT(B58,2)),"")</f>
        <v>25569.1875</v>
      </c>
      <c r="K58" s="21"/>
      <c r="L58" s="49">
        <f>IF(A58="Total Hours","",IF(J58="",L57,J58))</f>
        <v>25569.1875</v>
      </c>
      <c r="M58" s="50">
        <f>A58</f>
      </c>
      <c r="N58" s="17">
        <f>IF(C58="",IF(U58="",C58,""),C58)</f>
        <v>25569.1875</v>
      </c>
      <c r="O58" s="17">
        <f>IF(D58="",IF(U58="",D58,""),D58)</f>
        <v>25569.1875</v>
      </c>
      <c r="P58" s="17">
        <f>IFERROR(IF(N58&gt;O58,G58,O58-N58),"")</f>
        <v>25569.1875</v>
      </c>
      <c r="Q58" s="17">
        <f>IF(U58="",TIME(0,30,0),"")</f>
        <v>25569.1875</v>
      </c>
      <c r="R58" s="17">
        <f>IFERROR(IF(OR(IFERROR((P58-Q58)&lt;0,""),P58="Missing OUT"),"ATTENTION",P58-Q58),"")</f>
        <v>25569.1875</v>
      </c>
      <c r="S58" s="17">
        <f>TIME(8,0,0)</f>
        <v>25569.1875</v>
      </c>
      <c r="T58" s="17">
        <f>IFERROR(IF(R58="ATTENTION",TIME(8,0,0),IF(S58&gt;R58,S58-R58,R58-S58)),"")</f>
        <v>25569.1875</v>
      </c>
      <c r="U58" s="18">
        <f>IFERROR(VLOOKUP(L58,Calendar!$A$2:$C$261,3,0),"")</f>
      </c>
      <c r="V58" s="19">
        <f>IF(AND(LEN(C58)&gt;0,LEN(D58)=0),"NO CHECK-OUT","")</f>
      </c>
      <c r="W58" s="20">
        <f>IFERROR(IF(R58="",W57,IF(R58="ATTENTION",W57-S58,IF(S58&gt;R58,W57-T58,W57+T58))),"")</f>
        <v>25569.1875</v>
      </c>
    </row>
    <row x14ac:dyDescent="0.25" r="59" customHeight="1" ht="17.25">
      <c r="A59" s="21"/>
      <c r="B59" s="24"/>
      <c r="C59" s="35"/>
      <c r="D59" s="35"/>
      <c r="E59" s="37"/>
      <c r="F59" s="37"/>
      <c r="G59" s="21"/>
      <c r="H59" s="21"/>
      <c r="I59" s="21"/>
      <c r="J59" s="43">
        <f>IFERROR(DATE((LEFT(B59,4)),MID(B59,5,2),RIGHT(B59,2)),"")</f>
        <v>25569.1875</v>
      </c>
      <c r="K59" s="21"/>
      <c r="L59" s="49">
        <f>IF(A59="Total Hours","",IF(J59="",L58,J59))</f>
        <v>25569.1875</v>
      </c>
      <c r="M59" s="50">
        <f>A59</f>
      </c>
      <c r="N59" s="17">
        <f>IF(C59="",IF(U59="",C59,""),C59)</f>
        <v>25569.1875</v>
      </c>
      <c r="O59" s="17">
        <f>IF(D59="",IF(U59="",D59,""),D59)</f>
        <v>25569.1875</v>
      </c>
      <c r="P59" s="17">
        <f>IFERROR(IF(N59&gt;O59,G59,O59-N59),"")</f>
        <v>25569.1875</v>
      </c>
      <c r="Q59" s="17">
        <f>IF(U59="",TIME(0,30,0),"")</f>
        <v>25569.1875</v>
      </c>
      <c r="R59" s="17">
        <f>IFERROR(IF(OR(IFERROR((P59-Q59)&lt;0,""),P59="Missing OUT"),"ATTENTION",P59-Q59),"")</f>
        <v>25569.1875</v>
      </c>
      <c r="S59" s="17">
        <f>TIME(8,0,0)</f>
        <v>25569.1875</v>
      </c>
      <c r="T59" s="17">
        <f>IFERROR(IF(R59="ATTENTION",TIME(8,0,0),IF(S59&gt;R59,S59-R59,R59-S59)),"")</f>
        <v>25569.1875</v>
      </c>
      <c r="U59" s="18">
        <f>IFERROR(VLOOKUP(L59,Calendar!$A$2:$C$261,3,0),"")</f>
      </c>
      <c r="V59" s="19">
        <f>IF(AND(LEN(C59)&gt;0,LEN(D59)=0),"NO CHECK-OUT","")</f>
      </c>
      <c r="W59" s="20">
        <f>IFERROR(IF(R59="",W58,IF(R59="ATTENTION",W58-S59,IF(S59&gt;R59,W58-T59,W58+T59))),"")</f>
        <v>25569.1875</v>
      </c>
    </row>
    <row x14ac:dyDescent="0.25" r="60" customHeight="1" ht="17.25">
      <c r="A60" s="21"/>
      <c r="B60" s="24"/>
      <c r="C60" s="35"/>
      <c r="D60" s="35"/>
      <c r="E60" s="37"/>
      <c r="F60" s="37"/>
      <c r="G60" s="21"/>
      <c r="H60" s="21"/>
      <c r="I60" s="21"/>
      <c r="J60" s="43">
        <f>IFERROR(DATE((LEFT(B60,4)),MID(B60,5,2),RIGHT(B60,2)),"")</f>
        <v>25569.1875</v>
      </c>
      <c r="K60" s="21"/>
      <c r="L60" s="49">
        <f>IF(A60="Total Hours","",IF(J60="",L59,J60))</f>
        <v>25569.1875</v>
      </c>
      <c r="M60" s="50">
        <f>A60</f>
      </c>
      <c r="N60" s="17">
        <f>IF(C60="",IF(U60="",C60,""),C60)</f>
        <v>25569.1875</v>
      </c>
      <c r="O60" s="17">
        <f>IF(D60="",IF(U60="",D60,""),D60)</f>
        <v>25569.1875</v>
      </c>
      <c r="P60" s="17">
        <f>IFERROR(IF(N60&gt;O60,G60,O60-N60),"")</f>
        <v>25569.1875</v>
      </c>
      <c r="Q60" s="17">
        <f>IF(U60="",TIME(0,30,0),"")</f>
        <v>25569.1875</v>
      </c>
      <c r="R60" s="17">
        <f>IFERROR(IF(OR(IFERROR((P60-Q60)&lt;0,""),P60="Missing OUT"),"ATTENTION",P60-Q60),"")</f>
        <v>25569.1875</v>
      </c>
      <c r="S60" s="17">
        <f>TIME(8,0,0)</f>
        <v>25569.1875</v>
      </c>
      <c r="T60" s="17">
        <f>IFERROR(IF(R60="ATTENTION",TIME(8,0,0),IF(S60&gt;R60,S60-R60,R60-S60)),"")</f>
        <v>25569.1875</v>
      </c>
      <c r="U60" s="18">
        <f>IFERROR(VLOOKUP(L60,Calendar!$A$2:$C$261,3,0),"")</f>
      </c>
      <c r="V60" s="19">
        <f>IF(AND(LEN(C60)&gt;0,LEN(D60)=0),"NO CHECK-OUT","")</f>
      </c>
      <c r="W60" s="20">
        <f>IFERROR(IF(R60="",W59,IF(R60="ATTENTION",W59-S60,IF(S60&gt;R60,W59-T60,W59+T60))),"")</f>
        <v>25569.1875</v>
      </c>
    </row>
    <row x14ac:dyDescent="0.25" r="61" customHeight="1" ht="17.25">
      <c r="A61" s="21"/>
      <c r="B61" s="24"/>
      <c r="C61" s="35"/>
      <c r="D61" s="35"/>
      <c r="E61" s="37"/>
      <c r="F61" s="37"/>
      <c r="G61" s="21"/>
      <c r="H61" s="21"/>
      <c r="I61" s="21"/>
      <c r="J61" s="43">
        <f>IFERROR(DATE((LEFT(B61,4)),MID(B61,5,2),RIGHT(B61,2)),"")</f>
        <v>25569.1875</v>
      </c>
      <c r="K61" s="21"/>
      <c r="L61" s="49">
        <f>IF(A61="Total Hours","",IF(J61="",L60,J61))</f>
        <v>25569.1875</v>
      </c>
      <c r="M61" s="50">
        <f>A61</f>
      </c>
      <c r="N61" s="17">
        <f>IF(C61="",IF(U61="",C61,""),C61)</f>
        <v>25569.1875</v>
      </c>
      <c r="O61" s="17">
        <f>IF(D61="",IF(U61="",D61,""),D61)</f>
        <v>25569.1875</v>
      </c>
      <c r="P61" s="17">
        <f>IFERROR(IF(N61&gt;O61,G61,O61-N61),"")</f>
        <v>25569.1875</v>
      </c>
      <c r="Q61" s="17">
        <f>IF(U61="",TIME(0,30,0),"")</f>
        <v>25569.1875</v>
      </c>
      <c r="R61" s="17">
        <f>IFERROR(IF(OR(IFERROR((P61-Q61)&lt;0,""),P61="Missing OUT"),"ATTENTION",P61-Q61),"")</f>
        <v>25569.1875</v>
      </c>
      <c r="S61" s="17">
        <f>TIME(8,0,0)</f>
        <v>25569.1875</v>
      </c>
      <c r="T61" s="17">
        <f>IFERROR(IF(R61="ATTENTION",TIME(8,0,0),IF(S61&gt;R61,S61-R61,R61-S61)),"")</f>
        <v>25569.1875</v>
      </c>
      <c r="U61" s="18">
        <f>IFERROR(VLOOKUP(L61,Calendar!$A$2:$C$261,3,0),"")</f>
      </c>
      <c r="V61" s="19">
        <f>IF(AND(LEN(C61)&gt;0,LEN(D61)=0),"NO CHECK-OUT","")</f>
      </c>
      <c r="W61" s="20">
        <f>IFERROR(IF(R61="",W60,IF(R61="ATTENTION",W60-S61,IF(S61&gt;R61,W60-T61,W60+T61))),"")</f>
        <v>25569.1875</v>
      </c>
    </row>
    <row x14ac:dyDescent="0.25" r="62" customHeight="1" ht="17.25">
      <c r="A62" s="21"/>
      <c r="B62" s="24"/>
      <c r="C62" s="35"/>
      <c r="D62" s="35"/>
      <c r="E62" s="37"/>
      <c r="F62" s="37"/>
      <c r="G62" s="21"/>
      <c r="H62" s="21"/>
      <c r="I62" s="21"/>
      <c r="J62" s="43">
        <f>IFERROR(DATE((LEFT(B62,4)),MID(B62,5,2),RIGHT(B62,2)),"")</f>
        <v>25569.1875</v>
      </c>
      <c r="K62" s="21"/>
      <c r="L62" s="49">
        <f>IF(A62="Total Hours","",IF(J62="",L61,J62))</f>
        <v>25569.1875</v>
      </c>
      <c r="M62" s="50">
        <f>A62</f>
      </c>
      <c r="N62" s="17">
        <f>IF(C62="",IF(U62="",C62,""),C62)</f>
        <v>25569.1875</v>
      </c>
      <c r="O62" s="17">
        <f>IF(D62="",IF(U62="",D62,""),D62)</f>
        <v>25569.1875</v>
      </c>
      <c r="P62" s="17">
        <f>IFERROR(IF(N62&gt;O62,G62,O62-N62),"")</f>
        <v>25569.1875</v>
      </c>
      <c r="Q62" s="17">
        <f>IF(U62="",TIME(0,30,0),"")</f>
        <v>25569.1875</v>
      </c>
      <c r="R62" s="17">
        <f>IFERROR(IF(OR(IFERROR((P62-Q62)&lt;0,""),P62="Missing OUT"),"ATTENTION",P62-Q62),"")</f>
        <v>25569.1875</v>
      </c>
      <c r="S62" s="17">
        <f>TIME(8,0,0)</f>
        <v>25569.1875</v>
      </c>
      <c r="T62" s="17">
        <f>IFERROR(IF(R62="ATTENTION",TIME(8,0,0),IF(S62&gt;R62,S62-R62,R62-S62)),"")</f>
        <v>25569.1875</v>
      </c>
      <c r="U62" s="18">
        <f>IFERROR(VLOOKUP(L62,Calendar!$A$2:$C$261,3,0),"")</f>
      </c>
      <c r="V62" s="19">
        <f>IF(AND(LEN(C62)&gt;0,LEN(D62)=0),"NO CHECK-OUT","")</f>
      </c>
      <c r="W62" s="20">
        <f>IFERROR(IF(R62="",W61,IF(R62="ATTENTION",W61-S62,IF(S62&gt;R62,W61-T62,W61+T62))),"")</f>
        <v>25569.1875</v>
      </c>
    </row>
    <row x14ac:dyDescent="0.25" r="63" customHeight="1" ht="17.25">
      <c r="A63" s="21"/>
      <c r="B63" s="24"/>
      <c r="C63" s="35"/>
      <c r="D63" s="35"/>
      <c r="E63" s="37"/>
      <c r="F63" s="37"/>
      <c r="G63" s="21"/>
      <c r="H63" s="21"/>
      <c r="I63" s="21"/>
      <c r="J63" s="43">
        <f>IFERROR(DATE((LEFT(B63,4)),MID(B63,5,2),RIGHT(B63,2)),"")</f>
        <v>25569.1875</v>
      </c>
      <c r="K63" s="21"/>
      <c r="L63" s="49">
        <f>IF(A63="Total Hours","",IF(J63="",L62,J63))</f>
        <v>25569.1875</v>
      </c>
      <c r="M63" s="50">
        <f>A63</f>
      </c>
      <c r="N63" s="17">
        <f>IF(C63="",IF(U63="",C63,""),C63)</f>
        <v>25569.1875</v>
      </c>
      <c r="O63" s="17">
        <f>IF(D63="",IF(U63="",D63,""),D63)</f>
        <v>25569.1875</v>
      </c>
      <c r="P63" s="17">
        <f>IFERROR(IF(N63&gt;O63,G63,O63-N63),"")</f>
        <v>25569.1875</v>
      </c>
      <c r="Q63" s="17">
        <f>IF(U63="",TIME(0,30,0),"")</f>
        <v>25569.1875</v>
      </c>
      <c r="R63" s="17">
        <f>IFERROR(IF(OR(IFERROR((P63-Q63)&lt;0,""),P63="Missing OUT"),"ATTENTION",P63-Q63),"")</f>
        <v>25569.1875</v>
      </c>
      <c r="S63" s="17">
        <f>TIME(8,0,0)</f>
        <v>25569.1875</v>
      </c>
      <c r="T63" s="17">
        <f>IFERROR(IF(R63="ATTENTION",TIME(8,0,0),IF(S63&gt;R63,S63-R63,R63-S63)),"")</f>
        <v>25569.1875</v>
      </c>
      <c r="U63" s="18">
        <f>IFERROR(VLOOKUP(L63,Calendar!$A$2:$C$261,3,0),"")</f>
      </c>
      <c r="V63" s="19">
        <f>IF(AND(LEN(C63)&gt;0,LEN(D63)=0),"NO CHECK-OUT","")</f>
      </c>
      <c r="W63" s="20">
        <f>IFERROR(IF(R63="",W62,IF(R63="ATTENTION",W62-S63,IF(S63&gt;R63,W62-T63,W62+T63))),"")</f>
        <v>25569.1875</v>
      </c>
    </row>
    <row x14ac:dyDescent="0.25" r="64" customHeight="1" ht="17.25">
      <c r="A64" s="21"/>
      <c r="B64" s="24"/>
      <c r="C64" s="35"/>
      <c r="D64" s="35"/>
      <c r="E64" s="37"/>
      <c r="F64" s="37"/>
      <c r="G64" s="21"/>
      <c r="H64" s="21"/>
      <c r="I64" s="21"/>
      <c r="J64" s="43">
        <f>IFERROR(DATE((LEFT(B64,4)),MID(B64,5,2),RIGHT(B64,2)),"")</f>
        <v>25569.1875</v>
      </c>
      <c r="K64" s="21"/>
      <c r="L64" s="49">
        <f>IF(A64="Total Hours","",IF(J64="",L63,J64))</f>
        <v>25569.1875</v>
      </c>
      <c r="M64" s="50">
        <f>A64</f>
      </c>
      <c r="N64" s="17">
        <f>IF(C64="",IF(U64="",C64,""),C64)</f>
        <v>25569.1875</v>
      </c>
      <c r="O64" s="17">
        <f>IF(D64="",IF(U64="",D64,""),D64)</f>
        <v>25569.1875</v>
      </c>
      <c r="P64" s="17">
        <f>IFERROR(IF(N64&gt;O64,G64,O64-N64),"")</f>
        <v>25569.1875</v>
      </c>
      <c r="Q64" s="17">
        <f>IF(U64="",TIME(0,30,0),"")</f>
        <v>25569.1875</v>
      </c>
      <c r="R64" s="17">
        <f>IFERROR(IF(OR(IFERROR((P64-Q64)&lt;0,""),P64="Missing OUT"),"ATTENTION",P64-Q64),"")</f>
        <v>25569.1875</v>
      </c>
      <c r="S64" s="17">
        <f>TIME(8,0,0)</f>
        <v>25569.1875</v>
      </c>
      <c r="T64" s="17">
        <f>IFERROR(IF(R64="ATTENTION",TIME(8,0,0),IF(S64&gt;R64,S64-R64,R64-S64)),"")</f>
        <v>25569.1875</v>
      </c>
      <c r="U64" s="18">
        <f>IFERROR(VLOOKUP(L64,Calendar!$A$2:$C$261,3,0),"")</f>
      </c>
      <c r="V64" s="19">
        <f>IF(AND(LEN(C64)&gt;0,LEN(D64)=0),"NO CHECK-OUT","")</f>
      </c>
      <c r="W64" s="20">
        <f>IFERROR(IF(R64="",W63,IF(R64="ATTENTION",W63-S64,IF(S64&gt;R64,W63-T64,W63+T64))),"")</f>
        <v>25569.1875</v>
      </c>
    </row>
    <row x14ac:dyDescent="0.25" r="65" customHeight="1" ht="17.25">
      <c r="A65" s="21"/>
      <c r="B65" s="24"/>
      <c r="C65" s="35"/>
      <c r="D65" s="35"/>
      <c r="E65" s="37"/>
      <c r="F65" s="37"/>
      <c r="G65" s="21"/>
      <c r="H65" s="21"/>
      <c r="I65" s="21"/>
      <c r="J65" s="43">
        <f>IFERROR(DATE((LEFT(B65,4)),MID(B65,5,2),RIGHT(B65,2)),"")</f>
        <v>25569.1875</v>
      </c>
      <c r="K65" s="21"/>
      <c r="L65" s="49">
        <f>IF(A65="Total Hours","",IF(J65="",L64,J65))</f>
        <v>25569.1875</v>
      </c>
      <c r="M65" s="50">
        <f>A65</f>
      </c>
      <c r="N65" s="17">
        <f>IF(C65="",IF(U65="",C65,""),C65)</f>
        <v>25569.1875</v>
      </c>
      <c r="O65" s="17">
        <f>IF(D65="",IF(U65="",D65,""),D65)</f>
        <v>25569.1875</v>
      </c>
      <c r="P65" s="17">
        <f>IFERROR(IF(N65&gt;O65,G65,O65-N65),"")</f>
        <v>25569.1875</v>
      </c>
      <c r="Q65" s="17">
        <f>IF(U65="",TIME(0,30,0),"")</f>
        <v>25569.1875</v>
      </c>
      <c r="R65" s="17">
        <f>IFERROR(IF(OR(IFERROR((P65-Q65)&lt;0,""),P65="Missing OUT"),"ATTENTION",P65-Q65),"")</f>
        <v>25569.1875</v>
      </c>
      <c r="S65" s="17">
        <f>TIME(8,0,0)</f>
        <v>25569.1875</v>
      </c>
      <c r="T65" s="17">
        <f>IFERROR(IF(R65="ATTENTION",TIME(8,0,0),IF(S65&gt;R65,S65-R65,R65-S65)),"")</f>
        <v>25569.1875</v>
      </c>
      <c r="U65" s="18">
        <f>IFERROR(VLOOKUP(L65,Calendar!$A$2:$C$261,3,0),"")</f>
      </c>
      <c r="V65" s="19">
        <f>IF(AND(LEN(C65)&gt;0,LEN(D65)=0),"NO CHECK-OUT","")</f>
      </c>
      <c r="W65" s="20">
        <f>IFERROR(IF(R65="",W64,IF(R65="ATTENTION",W64-S65,IF(S65&gt;R65,W64-T65,W64+T65))),"")</f>
        <v>25569.1875</v>
      </c>
    </row>
    <row x14ac:dyDescent="0.25" r="66" customHeight="1" ht="17.25">
      <c r="A66" s="21"/>
      <c r="B66" s="24"/>
      <c r="C66" s="35"/>
      <c r="D66" s="35"/>
      <c r="E66" s="37"/>
      <c r="F66" s="37"/>
      <c r="G66" s="21"/>
      <c r="H66" s="21"/>
      <c r="I66" s="21"/>
      <c r="J66" s="43">
        <f>IFERROR(DATE((LEFT(B66,4)),MID(B66,5,2),RIGHT(B66,2)),"")</f>
        <v>25569.1875</v>
      </c>
      <c r="K66" s="21"/>
      <c r="L66" s="49">
        <f>IF(A66="Total Hours","",IF(J66="",L65,J66))</f>
        <v>25569.1875</v>
      </c>
      <c r="M66" s="50">
        <f>A66</f>
      </c>
      <c r="N66" s="17">
        <f>IF(C66="",IF(U66="",C66,""),C66)</f>
        <v>25569.1875</v>
      </c>
      <c r="O66" s="17">
        <f>IF(D66="",IF(U66="",D66,""),D66)</f>
        <v>25569.1875</v>
      </c>
      <c r="P66" s="17">
        <f>IFERROR(IF(N66&gt;O66,G66,O66-N66),"")</f>
        <v>25569.1875</v>
      </c>
      <c r="Q66" s="17">
        <f>IF(U66="",TIME(0,30,0),"")</f>
        <v>25569.1875</v>
      </c>
      <c r="R66" s="17">
        <f>IFERROR(IF(OR(IFERROR((P66-Q66)&lt;0,""),P66="Missing OUT"),"ATTENTION",P66-Q66),"")</f>
        <v>25569.1875</v>
      </c>
      <c r="S66" s="17">
        <f>TIME(8,0,0)</f>
        <v>25569.1875</v>
      </c>
      <c r="T66" s="17">
        <f>IFERROR(IF(R66="ATTENTION",TIME(8,0,0),IF(S66&gt;R66,S66-R66,R66-S66)),"")</f>
        <v>25569.1875</v>
      </c>
      <c r="U66" s="18">
        <f>IFERROR(VLOOKUP(L66,Calendar!$A$2:$C$261,3,0),"")</f>
      </c>
      <c r="V66" s="19">
        <f>IF(AND(LEN(C66)&gt;0,LEN(D66)=0),"NO CHECK-OUT","")</f>
      </c>
      <c r="W66" s="20">
        <f>IFERROR(IF(R66="",W65,IF(R66="ATTENTION",W65-S66,IF(S66&gt;R66,W65-T66,W65+T66))),"")</f>
        <v>25569.1875</v>
      </c>
    </row>
    <row x14ac:dyDescent="0.25" r="67" customHeight="1" ht="17.25">
      <c r="A67" s="21"/>
      <c r="B67" s="24"/>
      <c r="C67" s="35"/>
      <c r="D67" s="35"/>
      <c r="E67" s="37"/>
      <c r="F67" s="37"/>
      <c r="G67" s="21"/>
      <c r="H67" s="21"/>
      <c r="I67" s="21"/>
      <c r="J67" s="43">
        <f>IFERROR(DATE((LEFT(B67,4)),MID(B67,5,2),RIGHT(B67,2)),"")</f>
        <v>25569.1875</v>
      </c>
      <c r="K67" s="21"/>
      <c r="L67" s="49">
        <f>IF(A67="Total Hours","",IF(J67="",L66,J67))</f>
        <v>25569.1875</v>
      </c>
      <c r="M67" s="50">
        <f>A67</f>
      </c>
      <c r="N67" s="17">
        <f>IF(C67="",IF(U67="",C67,""),C67)</f>
        <v>25569.1875</v>
      </c>
      <c r="O67" s="17">
        <f>IF(D67="",IF(U67="",D67,""),D67)</f>
        <v>25569.1875</v>
      </c>
      <c r="P67" s="17">
        <f>IFERROR(IF(N67&gt;O67,G67,O67-N67),"")</f>
        <v>25569.1875</v>
      </c>
      <c r="Q67" s="17">
        <f>IF(U67="",TIME(0,30,0),"")</f>
        <v>25569.1875</v>
      </c>
      <c r="R67" s="17">
        <f>IFERROR(IF(OR(IFERROR((P67-Q67)&lt;0,""),P67="Missing OUT"),"ATTENTION",P67-Q67),"")</f>
        <v>25569.1875</v>
      </c>
      <c r="S67" s="17">
        <f>TIME(8,0,0)</f>
        <v>25569.1875</v>
      </c>
      <c r="T67" s="17">
        <f>IFERROR(IF(R67="ATTENTION",TIME(8,0,0),IF(S67&gt;R67,S67-R67,R67-S67)),"")</f>
        <v>25569.1875</v>
      </c>
      <c r="U67" s="18">
        <f>IFERROR(VLOOKUP(L67,Calendar!$A$2:$C$261,3,0),"")</f>
      </c>
      <c r="V67" s="19">
        <f>IF(AND(LEN(C67)&gt;0,LEN(D67)=0),"NO CHECK-OUT","")</f>
      </c>
      <c r="W67" s="20">
        <f>IFERROR(IF(R67="",W66,IF(R67="ATTENTION",W66-S67,IF(S67&gt;R67,W66-T67,W66+T67))),"")</f>
        <v>25569.1875</v>
      </c>
    </row>
    <row x14ac:dyDescent="0.25" r="68" customHeight="1" ht="17.25">
      <c r="A68" s="21"/>
      <c r="B68" s="24"/>
      <c r="C68" s="35"/>
      <c r="D68" s="35"/>
      <c r="E68" s="37"/>
      <c r="F68" s="37"/>
      <c r="G68" s="21"/>
      <c r="H68" s="21"/>
      <c r="I68" s="21"/>
      <c r="J68" s="43">
        <f>IFERROR(DATE((LEFT(B68,4)),MID(B68,5,2),RIGHT(B68,2)),"")</f>
        <v>25569.1875</v>
      </c>
      <c r="K68" s="21"/>
      <c r="L68" s="49">
        <f>IF(A68="Total Hours","",IF(J68="",L67,J68))</f>
        <v>25569.1875</v>
      </c>
      <c r="M68" s="50">
        <f>A68</f>
      </c>
      <c r="N68" s="17">
        <f>IF(C68="",IF(U68="",C68,""),C68)</f>
        <v>25569.1875</v>
      </c>
      <c r="O68" s="17">
        <f>IF(D68="",IF(U68="",D68,""),D68)</f>
        <v>25569.1875</v>
      </c>
      <c r="P68" s="17">
        <f>IFERROR(IF(N68&gt;O68,G68,O68-N68),"")</f>
        <v>25569.1875</v>
      </c>
      <c r="Q68" s="17">
        <f>IF(U68="",TIME(0,30,0),"")</f>
        <v>25569.1875</v>
      </c>
      <c r="R68" s="17">
        <f>IFERROR(IF(OR(IFERROR((P68-Q68)&lt;0,""),P68="Missing OUT"),"ATTENTION",P68-Q68),"")</f>
        <v>25569.1875</v>
      </c>
      <c r="S68" s="17">
        <f>TIME(8,0,0)</f>
        <v>25569.1875</v>
      </c>
      <c r="T68" s="17">
        <f>IFERROR(IF(R68="ATTENTION",TIME(8,0,0),IF(S68&gt;R68,S68-R68,R68-S68)),"")</f>
        <v>25569.1875</v>
      </c>
      <c r="U68" s="18">
        <f>IFERROR(VLOOKUP(L68,Calendar!$A$2:$C$261,3,0),"")</f>
      </c>
      <c r="V68" s="19">
        <f>IF(AND(LEN(C68)&gt;0,LEN(D68)=0),"NO CHECK-OUT","")</f>
      </c>
      <c r="W68" s="20">
        <f>IFERROR(IF(R68="",W67,IF(R68="ATTENTION",W67-S68,IF(S68&gt;R68,W67-T68,W67+T68))),"")</f>
        <v>25569.1875</v>
      </c>
    </row>
    <row x14ac:dyDescent="0.25" r="69" customHeight="1" ht="17.25">
      <c r="A69" s="21"/>
      <c r="B69" s="24"/>
      <c r="C69" s="35"/>
      <c r="D69" s="35"/>
      <c r="E69" s="37"/>
      <c r="F69" s="37"/>
      <c r="G69" s="21"/>
      <c r="H69" s="21"/>
      <c r="I69" s="21"/>
      <c r="J69" s="43">
        <f>IFERROR(DATE((LEFT(B69,4)),MID(B69,5,2),RIGHT(B69,2)),"")</f>
        <v>25569.1875</v>
      </c>
      <c r="K69" s="21"/>
      <c r="L69" s="49">
        <f>IF(A69="Total Hours","",IF(J69="",L68,J69))</f>
        <v>25569.1875</v>
      </c>
      <c r="M69" s="50">
        <f>A69</f>
      </c>
      <c r="N69" s="17">
        <f>IF(C69="",IF(U69="",C69,""),C69)</f>
        <v>25569.1875</v>
      </c>
      <c r="O69" s="17">
        <f>IF(D69="",IF(U69="",D69,""),D69)</f>
        <v>25569.1875</v>
      </c>
      <c r="P69" s="17">
        <f>IFERROR(IF(N69&gt;O69,G69,O69-N69),"")</f>
        <v>25569.1875</v>
      </c>
      <c r="Q69" s="17">
        <f>IF(U69="",TIME(0,30,0),"")</f>
        <v>25569.1875</v>
      </c>
      <c r="R69" s="17">
        <f>IFERROR(IF(OR(IFERROR((P69-Q69)&lt;0,""),P69="Missing OUT"),"ATTENTION",P69-Q69),"")</f>
        <v>25569.1875</v>
      </c>
      <c r="S69" s="17">
        <f>TIME(8,0,0)</f>
        <v>25569.1875</v>
      </c>
      <c r="T69" s="17">
        <f>IFERROR(IF(R69="ATTENTION",TIME(8,0,0),IF(S69&gt;R69,S69-R69,R69-S69)),"")</f>
        <v>25569.1875</v>
      </c>
      <c r="U69" s="18">
        <f>IFERROR(VLOOKUP(L69,Calendar!$A$2:$C$261,3,0),"")</f>
      </c>
      <c r="V69" s="19">
        <f>IF(AND(LEN(C69)&gt;0,LEN(D69)=0),"NO CHECK-OUT","")</f>
      </c>
      <c r="W69" s="20">
        <f>IFERROR(IF(R69="",W68,IF(R69="ATTENTION",W68-S69,IF(S69&gt;R69,W68-T69,W68+T69))),"")</f>
        <v>25569.1875</v>
      </c>
    </row>
    <row x14ac:dyDescent="0.25" r="70" customHeight="1" ht="17.25">
      <c r="A70" s="21"/>
      <c r="B70" s="24"/>
      <c r="C70" s="35"/>
      <c r="D70" s="35"/>
      <c r="E70" s="37"/>
      <c r="F70" s="37"/>
      <c r="G70" s="21"/>
      <c r="H70" s="21"/>
      <c r="I70" s="21"/>
      <c r="J70" s="43">
        <f>IFERROR(DATE((LEFT(B70,4)),MID(B70,5,2),RIGHT(B70,2)),"")</f>
        <v>25569.1875</v>
      </c>
      <c r="K70" s="21"/>
      <c r="L70" s="49">
        <f>IF(A70="Total Hours","",IF(J70="",L69,J70))</f>
        <v>25569.1875</v>
      </c>
      <c r="M70" s="50">
        <f>A70</f>
      </c>
      <c r="N70" s="17">
        <f>IF(C70="",IF(U70="",C70,""),C70)</f>
        <v>25569.1875</v>
      </c>
      <c r="O70" s="17">
        <f>IF(D70="",IF(U70="",D70,""),D70)</f>
        <v>25569.1875</v>
      </c>
      <c r="P70" s="17">
        <f>IFERROR(IF(N70&gt;O70,G70,O70-N70),"")</f>
        <v>25569.1875</v>
      </c>
      <c r="Q70" s="17">
        <f>IF(U70="",TIME(0,30,0),"")</f>
        <v>25569.1875</v>
      </c>
      <c r="R70" s="17">
        <f>IFERROR(IF(OR(IFERROR((P70-Q70)&lt;0,""),P70="Missing OUT"),"ATTENTION",P70-Q70),"")</f>
        <v>25569.1875</v>
      </c>
      <c r="S70" s="17">
        <f>TIME(8,0,0)</f>
        <v>25569.1875</v>
      </c>
      <c r="T70" s="17">
        <f>IFERROR(IF(R70="ATTENTION",TIME(8,0,0),IF(S70&gt;R70,S70-R70,R70-S70)),"")</f>
        <v>25569.1875</v>
      </c>
      <c r="U70" s="18">
        <f>IFERROR(VLOOKUP(L70,Calendar!$A$2:$C$261,3,0),"")</f>
      </c>
      <c r="V70" s="19">
        <f>IF(AND(LEN(C70)&gt;0,LEN(D70)=0),"NO CHECK-OUT","")</f>
      </c>
      <c r="W70" s="20">
        <f>IFERROR(IF(R70="",W69,IF(R70="ATTENTION",W69-S70,IF(S70&gt;R70,W69-T70,W69+T70))),"")</f>
        <v>25569.1875</v>
      </c>
    </row>
    <row x14ac:dyDescent="0.25" r="71" customHeight="1" ht="17.25">
      <c r="A71" s="21"/>
      <c r="B71" s="24"/>
      <c r="C71" s="35"/>
      <c r="D71" s="35"/>
      <c r="E71" s="37"/>
      <c r="F71" s="37"/>
      <c r="G71" s="21"/>
      <c r="H71" s="21"/>
      <c r="I71" s="21"/>
      <c r="J71" s="43">
        <f>IFERROR(DATE((LEFT(B71,4)),MID(B71,5,2),RIGHT(B71,2)),"")</f>
        <v>25569.1875</v>
      </c>
      <c r="K71" s="21"/>
      <c r="L71" s="49">
        <f>IF(A71="Total Hours","",IF(J71="",L70,J71))</f>
        <v>25569.1875</v>
      </c>
      <c r="M71" s="50">
        <f>A71</f>
      </c>
      <c r="N71" s="17">
        <f>IF(C71="",IF(U71="",C71,""),C71)</f>
        <v>25569.1875</v>
      </c>
      <c r="O71" s="17">
        <f>IF(D71="",IF(U71="",D71,""),D71)</f>
        <v>25569.1875</v>
      </c>
      <c r="P71" s="17">
        <f>IFERROR(IF(N71&gt;O71,G71,O71-N71),"")</f>
        <v>25569.1875</v>
      </c>
      <c r="Q71" s="17">
        <f>IF(U71="",TIME(0,30,0),"")</f>
        <v>25569.1875</v>
      </c>
      <c r="R71" s="17">
        <f>IFERROR(IF(OR(IFERROR((P71-Q71)&lt;0,""),P71="Missing OUT"),"ATTENTION",P71-Q71),"")</f>
        <v>25569.1875</v>
      </c>
      <c r="S71" s="17">
        <f>TIME(8,0,0)</f>
        <v>25569.1875</v>
      </c>
      <c r="T71" s="17">
        <f>IFERROR(IF(R71="ATTENTION",TIME(8,0,0),IF(S71&gt;R71,S71-R71,R71-S71)),"")</f>
        <v>25569.1875</v>
      </c>
      <c r="U71" s="18">
        <f>IFERROR(VLOOKUP(L71,Calendar!$A$2:$C$261,3,0),"")</f>
      </c>
      <c r="V71" s="19">
        <f>IF(AND(LEN(C71)&gt;0,LEN(D71)=0),"NO CHECK-OUT","")</f>
      </c>
      <c r="W71" s="20">
        <f>IFERROR(IF(R71="",W70,IF(R71="ATTENTION",W70-S71,IF(S71&gt;R71,W70-T71,W70+T71))),"")</f>
        <v>25569.1875</v>
      </c>
    </row>
    <row x14ac:dyDescent="0.25" r="72" customHeight="1" ht="17.25">
      <c r="A72" s="21"/>
      <c r="B72" s="24"/>
      <c r="C72" s="35"/>
      <c r="D72" s="35"/>
      <c r="E72" s="37"/>
      <c r="F72" s="37"/>
      <c r="G72" s="21"/>
      <c r="H72" s="21"/>
      <c r="I72" s="21"/>
      <c r="J72" s="43">
        <f>IFERROR(DATE((LEFT(B72,4)),MID(B72,5,2),RIGHT(B72,2)),"")</f>
        <v>25569.1875</v>
      </c>
      <c r="K72" s="21"/>
      <c r="L72" s="49">
        <f>IF(A72="Total Hours","",IF(J72="",L71,J72))</f>
        <v>25569.1875</v>
      </c>
      <c r="M72" s="50">
        <f>A72</f>
      </c>
      <c r="N72" s="17">
        <f>IF(C72="",IF(U72="",C72,""),C72)</f>
        <v>25569.1875</v>
      </c>
      <c r="O72" s="17">
        <f>IF(D72="",IF(U72="",D72,""),D72)</f>
        <v>25569.1875</v>
      </c>
      <c r="P72" s="17">
        <f>IFERROR(IF(N72&gt;O72,G72,O72-N72),"")</f>
        <v>25569.1875</v>
      </c>
      <c r="Q72" s="17">
        <f>IF(U72="",TIME(0,30,0),"")</f>
        <v>25569.1875</v>
      </c>
      <c r="R72" s="17">
        <f>IFERROR(IF(OR(IFERROR((P72-Q72)&lt;0,""),P72="Missing OUT"),"ATTENTION",P72-Q72),"")</f>
        <v>25569.1875</v>
      </c>
      <c r="S72" s="17">
        <f>TIME(8,0,0)</f>
        <v>25569.1875</v>
      </c>
      <c r="T72" s="17">
        <f>IFERROR(IF(R72="ATTENTION",TIME(8,0,0),IF(S72&gt;R72,S72-R72,R72-S72)),"")</f>
        <v>25569.1875</v>
      </c>
      <c r="U72" s="18">
        <f>IFERROR(VLOOKUP(L72,Calendar!$A$2:$C$261,3,0),"")</f>
      </c>
      <c r="V72" s="19">
        <f>IF(AND(LEN(C72)&gt;0,LEN(D72)=0),"NO CHECK-OUT","")</f>
      </c>
      <c r="W72" s="20">
        <f>IFERROR(IF(R72="",W71,IF(R72="ATTENTION",W71-S72,IF(S72&gt;R72,W71-T72,W71+T72))),"")</f>
        <v>25569.1875</v>
      </c>
    </row>
    <row x14ac:dyDescent="0.25" r="73" customHeight="1" ht="17.25">
      <c r="A73" s="21"/>
      <c r="B73" s="24"/>
      <c r="C73" s="35"/>
      <c r="D73" s="35"/>
      <c r="E73" s="37"/>
      <c r="F73" s="37"/>
      <c r="G73" s="21"/>
      <c r="H73" s="21"/>
      <c r="I73" s="21"/>
      <c r="J73" s="43">
        <f>IFERROR(DATE((LEFT(B73,4)),MID(B73,5,2),RIGHT(B73,2)),"")</f>
        <v>25569.1875</v>
      </c>
      <c r="K73" s="21"/>
      <c r="L73" s="49">
        <f>IF(A73="Total Hours","",IF(J73="",L72,J73))</f>
        <v>25569.1875</v>
      </c>
      <c r="M73" s="50">
        <f>A73</f>
      </c>
      <c r="N73" s="17">
        <f>IF(C73="",IF(U73="",C73,""),C73)</f>
        <v>25569.1875</v>
      </c>
      <c r="O73" s="17">
        <f>IF(D73="",IF(U73="",D73,""),D73)</f>
        <v>25569.1875</v>
      </c>
      <c r="P73" s="17">
        <f>IFERROR(IF(N73&gt;O73,G73,O73-N73),"")</f>
        <v>25569.1875</v>
      </c>
      <c r="Q73" s="17">
        <f>IF(U73="",TIME(0,30,0),"")</f>
        <v>25569.1875</v>
      </c>
      <c r="R73" s="17">
        <f>IFERROR(IF(OR(IFERROR((P73-Q73)&lt;0,""),P73="Missing OUT"),"ATTENTION",P73-Q73),"")</f>
        <v>25569.1875</v>
      </c>
      <c r="S73" s="17">
        <f>TIME(8,0,0)</f>
        <v>25569.1875</v>
      </c>
      <c r="T73" s="17">
        <f>IFERROR(IF(R73="ATTENTION",TIME(8,0,0),IF(S73&gt;R73,S73-R73,R73-S73)),"")</f>
        <v>25569.1875</v>
      </c>
      <c r="U73" s="18">
        <f>IFERROR(VLOOKUP(L73,Calendar!$A$2:$C$261,3,0),"")</f>
      </c>
      <c r="V73" s="19">
        <f>IF(AND(LEN(C73)&gt;0,LEN(D73)=0),"NO CHECK-OUT","")</f>
      </c>
      <c r="W73" s="20">
        <f>IFERROR(IF(R73="",W72,IF(R73="ATTENTION",W72-S73,IF(S73&gt;R73,W72-T73,W72+T73))),"")</f>
        <v>25569.1875</v>
      </c>
    </row>
    <row x14ac:dyDescent="0.25" r="74" customHeight="1" ht="17.25">
      <c r="A74" s="21"/>
      <c r="B74" s="24"/>
      <c r="C74" s="35"/>
      <c r="D74" s="35"/>
      <c r="E74" s="37"/>
      <c r="F74" s="37"/>
      <c r="G74" s="21"/>
      <c r="H74" s="21"/>
      <c r="I74" s="21"/>
      <c r="J74" s="43">
        <f>IFERROR(DATE((LEFT(B74,4)),MID(B74,5,2),RIGHT(B74,2)),"")</f>
        <v>25569.1875</v>
      </c>
      <c r="K74" s="21"/>
      <c r="L74" s="49">
        <f>IF(A74="Total Hours","",IF(J74="",L73,J74))</f>
        <v>25569.1875</v>
      </c>
      <c r="M74" s="50">
        <f>A74</f>
      </c>
      <c r="N74" s="17">
        <f>IF(C74="",IF(U74="",C74,""),C74)</f>
        <v>25569.1875</v>
      </c>
      <c r="O74" s="17">
        <f>IF(D74="",IF(U74="",D74,""),D74)</f>
        <v>25569.1875</v>
      </c>
      <c r="P74" s="17">
        <f>IFERROR(IF(N74&gt;O74,G74,O74-N74),"")</f>
        <v>25569.1875</v>
      </c>
      <c r="Q74" s="17">
        <f>IF(U74="",TIME(0,30,0),"")</f>
        <v>25569.1875</v>
      </c>
      <c r="R74" s="17">
        <f>IFERROR(IF(OR(IFERROR((P74-Q74)&lt;0,""),P74="Missing OUT"),"ATTENTION",P74-Q74),"")</f>
        <v>25569.1875</v>
      </c>
      <c r="S74" s="17">
        <f>TIME(8,0,0)</f>
        <v>25569.1875</v>
      </c>
      <c r="T74" s="17">
        <f>IFERROR(IF(R74="ATTENTION",TIME(8,0,0),IF(S74&gt;R74,S74-R74,R74-S74)),"")</f>
        <v>25569.1875</v>
      </c>
      <c r="U74" s="18">
        <f>IFERROR(VLOOKUP(L74,Calendar!$A$2:$C$261,3,0),"")</f>
      </c>
      <c r="V74" s="19">
        <f>IF(AND(LEN(C74)&gt;0,LEN(D74)=0),"NO CHECK-OUT","")</f>
      </c>
      <c r="W74" s="20">
        <f>IFERROR(IF(R74="",W73,IF(R74="ATTENTION",W73-S74,IF(S74&gt;R74,W73-T74,W73+T74))),"")</f>
        <v>25569.1875</v>
      </c>
    </row>
    <row x14ac:dyDescent="0.25" r="75" customHeight="1" ht="17.25">
      <c r="A75" s="21"/>
      <c r="B75" s="24"/>
      <c r="C75" s="35"/>
      <c r="D75" s="35"/>
      <c r="E75" s="37"/>
      <c r="F75" s="37"/>
      <c r="G75" s="21"/>
      <c r="H75" s="21"/>
      <c r="I75" s="21"/>
      <c r="J75" s="43">
        <f>IFERROR(DATE((LEFT(B75,4)),MID(B75,5,2),RIGHT(B75,2)),"")</f>
        <v>25569.1875</v>
      </c>
      <c r="K75" s="21"/>
      <c r="L75" s="49">
        <f>IF(A75="Total Hours","",IF(J75="",L74,J75))</f>
        <v>25569.1875</v>
      </c>
      <c r="M75" s="50">
        <f>A75</f>
      </c>
      <c r="N75" s="17">
        <f>IF(C75="",IF(U75="",C75,""),C75)</f>
        <v>25569.1875</v>
      </c>
      <c r="O75" s="17">
        <f>IF(D75="",IF(U75="",D75,""),D75)</f>
        <v>25569.1875</v>
      </c>
      <c r="P75" s="17">
        <f>IFERROR(IF(N75&gt;O75,G75,O75-N75),"")</f>
        <v>25569.1875</v>
      </c>
      <c r="Q75" s="17">
        <f>IF(U75="",TIME(0,30,0),"")</f>
        <v>25569.1875</v>
      </c>
      <c r="R75" s="17">
        <f>IFERROR(IF(OR(IFERROR((P75-Q75)&lt;0,""),P75="Missing OUT"),"ATTENTION",P75-Q75),"")</f>
        <v>25569.1875</v>
      </c>
      <c r="S75" s="17">
        <f>TIME(8,0,0)</f>
        <v>25569.1875</v>
      </c>
      <c r="T75" s="17">
        <f>IFERROR(IF(R75="ATTENTION",TIME(8,0,0),IF(S75&gt;R75,S75-R75,R75-S75)),"")</f>
        <v>25569.1875</v>
      </c>
      <c r="U75" s="18">
        <f>IFERROR(VLOOKUP(L75,Calendar!$A$2:$C$261,3,0),"")</f>
      </c>
      <c r="V75" s="19">
        <f>IF(AND(LEN(C75)&gt;0,LEN(D75)=0),"NO CHECK-OUT","")</f>
      </c>
      <c r="W75" s="20">
        <f>IFERROR(IF(R75="",W74,IF(R75="ATTENTION",W74-S75,IF(S75&gt;R75,W74-T75,W74+T75))),"")</f>
        <v>25569.1875</v>
      </c>
    </row>
    <row x14ac:dyDescent="0.25" r="76" customHeight="1" ht="17.25">
      <c r="A76" s="21"/>
      <c r="B76" s="24"/>
      <c r="C76" s="35"/>
      <c r="D76" s="35"/>
      <c r="E76" s="37"/>
      <c r="F76" s="37"/>
      <c r="G76" s="21"/>
      <c r="H76" s="21"/>
      <c r="I76" s="21"/>
      <c r="J76" s="43">
        <f>IFERROR(DATE((LEFT(B76,4)),MID(B76,5,2),RIGHT(B76,2)),"")</f>
        <v>25569.1875</v>
      </c>
      <c r="K76" s="21"/>
      <c r="L76" s="49">
        <f>IF(A76="Total Hours","",IF(J76="",L75,J76))</f>
        <v>25569.1875</v>
      </c>
      <c r="M76" s="50">
        <f>A76</f>
      </c>
      <c r="N76" s="17">
        <f>IF(C76="",IF(U76="",C76,""),C76)</f>
        <v>25569.1875</v>
      </c>
      <c r="O76" s="17">
        <f>IF(D76="",IF(U76="",D76,""),D76)</f>
        <v>25569.1875</v>
      </c>
      <c r="P76" s="17">
        <f>IFERROR(IF(N76&gt;O76,G76,O76-N76),"")</f>
        <v>25569.1875</v>
      </c>
      <c r="Q76" s="17">
        <f>IF(U76="",TIME(0,30,0),"")</f>
        <v>25569.1875</v>
      </c>
      <c r="R76" s="17">
        <f>IFERROR(IF(OR(IFERROR((P76-Q76)&lt;0,""),P76="Missing OUT"),"ATTENTION",P76-Q76),"")</f>
        <v>25569.1875</v>
      </c>
      <c r="S76" s="17">
        <f>TIME(8,0,0)</f>
        <v>25569.1875</v>
      </c>
      <c r="T76" s="17">
        <f>IFERROR(IF(R76="ATTENTION",TIME(8,0,0),IF(S76&gt;R76,S76-R76,R76-S76)),"")</f>
        <v>25569.1875</v>
      </c>
      <c r="U76" s="18">
        <f>IFERROR(VLOOKUP(L76,Calendar!$A$2:$C$261,3,0),"")</f>
      </c>
      <c r="V76" s="19">
        <f>IF(AND(LEN(C76)&gt;0,LEN(D76)=0),"NO CHECK-OUT","")</f>
      </c>
      <c r="W76" s="20">
        <f>IFERROR(IF(R76="",W75,IF(R76="ATTENTION",W75-S76,IF(S76&gt;R76,W75-T76,W75+T76))),"")</f>
        <v>25569.1875</v>
      </c>
    </row>
    <row x14ac:dyDescent="0.25" r="77" customHeight="1" ht="17.25">
      <c r="A77" s="21"/>
      <c r="B77" s="24"/>
      <c r="C77" s="35"/>
      <c r="D77" s="35"/>
      <c r="E77" s="37"/>
      <c r="F77" s="37"/>
      <c r="G77" s="21"/>
      <c r="H77" s="21"/>
      <c r="I77" s="21"/>
      <c r="J77" s="43">
        <f>IFERROR(DATE((LEFT(B77,4)),MID(B77,5,2),RIGHT(B77,2)),"")</f>
        <v>25569.1875</v>
      </c>
      <c r="K77" s="21"/>
      <c r="L77" s="49">
        <f>IF(A77="Total Hours","",IF(J77="",L76,J77))</f>
        <v>25569.1875</v>
      </c>
      <c r="M77" s="50">
        <f>A77</f>
      </c>
      <c r="N77" s="17">
        <f>IF(C77="",IF(U77="",C77,""),C77)</f>
        <v>25569.1875</v>
      </c>
      <c r="O77" s="17">
        <f>IF(D77="",IF(U77="",D77,""),D77)</f>
        <v>25569.1875</v>
      </c>
      <c r="P77" s="17">
        <f>IFERROR(IF(N77&gt;O77,G77,O77-N77),"")</f>
        <v>25569.1875</v>
      </c>
      <c r="Q77" s="17">
        <f>IF(U77="",TIME(0,30,0),"")</f>
        <v>25569.1875</v>
      </c>
      <c r="R77" s="17">
        <f>IFERROR(IF(OR(IFERROR((P77-Q77)&lt;0,""),P77="Missing OUT"),"ATTENTION",P77-Q77),"")</f>
        <v>25569.1875</v>
      </c>
      <c r="S77" s="17">
        <f>TIME(8,0,0)</f>
        <v>25569.1875</v>
      </c>
      <c r="T77" s="17">
        <f>IFERROR(IF(R77="ATTENTION",TIME(8,0,0),IF(S77&gt;R77,S77-R77,R77-S77)),"")</f>
        <v>25569.1875</v>
      </c>
      <c r="U77" s="18">
        <f>IFERROR(VLOOKUP(L77,Calendar!$A$2:$C$261,3,0),"")</f>
      </c>
      <c r="V77" s="19">
        <f>IF(AND(LEN(C77)&gt;0,LEN(D77)=0),"NO CHECK-OUT","")</f>
      </c>
      <c r="W77" s="20">
        <f>IFERROR(IF(R77="",W76,IF(R77="ATTENTION",W76-S77,IF(S77&gt;R77,W76-T77,W76+T77))),"")</f>
        <v>25569.1875</v>
      </c>
    </row>
    <row x14ac:dyDescent="0.25" r="78" customHeight="1" ht="17.25">
      <c r="A78" s="21"/>
      <c r="B78" s="24"/>
      <c r="C78" s="35"/>
      <c r="D78" s="35"/>
      <c r="E78" s="37"/>
      <c r="F78" s="37"/>
      <c r="G78" s="21"/>
      <c r="H78" s="21"/>
      <c r="I78" s="21"/>
      <c r="J78" s="43">
        <f>IFERROR(DATE((LEFT(B78,4)),MID(B78,5,2),RIGHT(B78,2)),"")</f>
        <v>25569.1875</v>
      </c>
      <c r="K78" s="21"/>
      <c r="L78" s="49">
        <f>IF(A78="Total Hours","",IF(J78="",L77,J78))</f>
        <v>25569.1875</v>
      </c>
      <c r="M78" s="50">
        <f>A78</f>
      </c>
      <c r="N78" s="17">
        <f>IF(C78="",IF(U78="",C78,""),C78)</f>
        <v>25569.1875</v>
      </c>
      <c r="O78" s="17">
        <f>IF(D78="",IF(U78="",D78,""),D78)</f>
        <v>25569.1875</v>
      </c>
      <c r="P78" s="17">
        <f>IFERROR(IF(N78&gt;O78,G78,O78-N78),"")</f>
        <v>25569.1875</v>
      </c>
      <c r="Q78" s="17">
        <f>IF(U78="",TIME(0,30,0),"")</f>
        <v>25569.1875</v>
      </c>
      <c r="R78" s="17">
        <f>IFERROR(IF(OR(IFERROR((P78-Q78)&lt;0,""),P78="Missing OUT"),"ATTENTION",P78-Q78),"")</f>
        <v>25569.1875</v>
      </c>
      <c r="S78" s="17">
        <f>TIME(8,0,0)</f>
        <v>25569.1875</v>
      </c>
      <c r="T78" s="17">
        <f>IFERROR(IF(R78="ATTENTION",TIME(8,0,0),IF(S78&gt;R78,S78-R78,R78-S78)),"")</f>
        <v>25569.1875</v>
      </c>
      <c r="U78" s="18">
        <f>IFERROR(VLOOKUP(L78,Calendar!$A$2:$C$261,3,0),"")</f>
      </c>
      <c r="V78" s="19">
        <f>IF(AND(LEN(C78)&gt;0,LEN(D78)=0),"NO CHECK-OUT","")</f>
      </c>
      <c r="W78" s="20">
        <f>IFERROR(IF(R78="",W77,IF(R78="ATTENTION",W77-S78,IF(S78&gt;R78,W77-T78,W77+T78))),"")</f>
        <v>25569.1875</v>
      </c>
    </row>
    <row x14ac:dyDescent="0.25" r="79" customHeight="1" ht="17.25">
      <c r="A79" s="21"/>
      <c r="B79" s="24"/>
      <c r="C79" s="35"/>
      <c r="D79" s="35"/>
      <c r="E79" s="37"/>
      <c r="F79" s="37"/>
      <c r="G79" s="21"/>
      <c r="H79" s="21"/>
      <c r="I79" s="21"/>
      <c r="J79" s="43">
        <f>IFERROR(DATE((LEFT(B79,4)),MID(B79,5,2),RIGHT(B79,2)),"")</f>
        <v>25569.1875</v>
      </c>
      <c r="K79" s="21"/>
      <c r="L79" s="49">
        <f>IF(A79="Total Hours","",IF(J79="",L78,J79))</f>
        <v>25569.1875</v>
      </c>
      <c r="M79" s="50">
        <f>A79</f>
      </c>
      <c r="N79" s="17">
        <f>IF(C79="",IF(U79="",C79,""),C79)</f>
        <v>25569.1875</v>
      </c>
      <c r="O79" s="17">
        <f>IF(D79="",IF(U79="",D79,""),D79)</f>
        <v>25569.1875</v>
      </c>
      <c r="P79" s="17">
        <f>IFERROR(IF(N79&gt;O79,G79,O79-N79),"")</f>
        <v>25569.1875</v>
      </c>
      <c r="Q79" s="17">
        <f>IF(U79="",TIME(0,30,0),"")</f>
        <v>25569.1875</v>
      </c>
      <c r="R79" s="17">
        <f>IFERROR(IF(OR(IFERROR((P79-Q79)&lt;0,""),P79="Missing OUT"),"ATTENTION",P79-Q79),"")</f>
        <v>25569.1875</v>
      </c>
      <c r="S79" s="17">
        <f>TIME(8,0,0)</f>
        <v>25569.1875</v>
      </c>
      <c r="T79" s="17">
        <f>IFERROR(IF(R79="ATTENTION",TIME(8,0,0),IF(S79&gt;R79,S79-R79,R79-S79)),"")</f>
        <v>25569.1875</v>
      </c>
      <c r="U79" s="18">
        <f>IFERROR(VLOOKUP(L79,Calendar!$A$2:$C$261,3,0),"")</f>
      </c>
      <c r="V79" s="19">
        <f>IF(AND(LEN(C79)&gt;0,LEN(D79)=0),"NO CHECK-OUT","")</f>
      </c>
      <c r="W79" s="20">
        <f>IFERROR(IF(R79="",W78,IF(R79="ATTENTION",W78-S79,IF(S79&gt;R79,W78-T79,W78+T79))),"")</f>
        <v>25569.1875</v>
      </c>
    </row>
    <row x14ac:dyDescent="0.25" r="80" customHeight="1" ht="17.25">
      <c r="A80" s="21"/>
      <c r="B80" s="24"/>
      <c r="C80" s="35"/>
      <c r="D80" s="35"/>
      <c r="E80" s="37"/>
      <c r="F80" s="37"/>
      <c r="G80" s="21"/>
      <c r="H80" s="21"/>
      <c r="I80" s="21"/>
      <c r="J80" s="43">
        <f>IFERROR(DATE((LEFT(B80,4)),MID(B80,5,2),RIGHT(B80,2)),"")</f>
        <v>25569.1875</v>
      </c>
      <c r="K80" s="21"/>
      <c r="L80" s="49">
        <f>IF(A80="Total Hours","",IF(J80="",L79,J80))</f>
        <v>25569.1875</v>
      </c>
      <c r="M80" s="50">
        <f>A80</f>
      </c>
      <c r="N80" s="17">
        <f>IF(C80="",IF(U80="",C80,""),C80)</f>
        <v>25569.1875</v>
      </c>
      <c r="O80" s="17">
        <f>IF(D80="",IF(U80="",D80,""),D80)</f>
        <v>25569.1875</v>
      </c>
      <c r="P80" s="17">
        <f>IFERROR(IF(N80&gt;O80,G80,O80-N80),"")</f>
        <v>25569.1875</v>
      </c>
      <c r="Q80" s="17">
        <f>IF(U80="",TIME(0,30,0),"")</f>
        <v>25569.1875</v>
      </c>
      <c r="R80" s="17">
        <f>IFERROR(IF(OR(IFERROR((P80-Q80)&lt;0,""),P80="Missing OUT"),"ATTENTION",P80-Q80),"")</f>
        <v>25569.1875</v>
      </c>
      <c r="S80" s="17">
        <f>TIME(8,0,0)</f>
        <v>25569.1875</v>
      </c>
      <c r="T80" s="17">
        <f>IFERROR(IF(R80="ATTENTION",TIME(8,0,0),IF(S80&gt;R80,S80-R80,R80-S80)),"")</f>
        <v>25569.1875</v>
      </c>
      <c r="U80" s="18">
        <f>IFERROR(VLOOKUP(L80,Calendar!$A$2:$C$261,3,0),"")</f>
      </c>
      <c r="V80" s="19">
        <f>IF(AND(LEN(C80)&gt;0,LEN(D80)=0),"NO CHECK-OUT","")</f>
      </c>
      <c r="W80" s="20">
        <f>IFERROR(IF(R80="",W79,IF(R80="ATTENTION",W79-S80,IF(S80&gt;R80,W79-T80,W79+T80))),"")</f>
        <v>25569.1875</v>
      </c>
    </row>
    <row x14ac:dyDescent="0.25" r="81" customHeight="1" ht="17.25">
      <c r="A81" s="21"/>
      <c r="B81" s="24"/>
      <c r="C81" s="35"/>
      <c r="D81" s="35"/>
      <c r="E81" s="37"/>
      <c r="F81" s="37"/>
      <c r="G81" s="21"/>
      <c r="H81" s="21"/>
      <c r="I81" s="21"/>
      <c r="J81" s="43">
        <f>IFERROR(DATE((LEFT(B81,4)),MID(B81,5,2),RIGHT(B81,2)),"")</f>
        <v>25569.1875</v>
      </c>
      <c r="K81" s="21"/>
      <c r="L81" s="49">
        <f>IF(A81="Total Hours","",IF(J81="",L80,J81))</f>
        <v>25569.1875</v>
      </c>
      <c r="M81" s="50">
        <f>A81</f>
      </c>
      <c r="N81" s="17">
        <f>IF(C81="",IF(U81="",C81,""),C81)</f>
        <v>25569.1875</v>
      </c>
      <c r="O81" s="17">
        <f>IF(D81="",IF(U81="",D81,""),D81)</f>
        <v>25569.1875</v>
      </c>
      <c r="P81" s="17">
        <f>IFERROR(IF(N81&gt;O81,G81,O81-N81),"")</f>
        <v>25569.1875</v>
      </c>
      <c r="Q81" s="17">
        <f>IF(U81="",TIME(0,30,0),"")</f>
        <v>25569.1875</v>
      </c>
      <c r="R81" s="17">
        <f>IFERROR(IF(OR(IFERROR((P81-Q81)&lt;0,""),P81="Missing OUT"),"ATTENTION",P81-Q81),"")</f>
        <v>25569.1875</v>
      </c>
      <c r="S81" s="17">
        <f>TIME(8,0,0)</f>
        <v>25569.1875</v>
      </c>
      <c r="T81" s="17">
        <f>IFERROR(IF(R81="ATTENTION",TIME(8,0,0),IF(S81&gt;R81,S81-R81,R81-S81)),"")</f>
        <v>25569.1875</v>
      </c>
      <c r="U81" s="18">
        <f>IFERROR(VLOOKUP(L81,Calendar!$A$2:$C$261,3,0),"")</f>
      </c>
      <c r="V81" s="19">
        <f>IF(AND(LEN(C81)&gt;0,LEN(D81)=0),"NO CHECK-OUT","")</f>
      </c>
      <c r="W81" s="20">
        <f>IFERROR(IF(R81="",W80,IF(R81="ATTENTION",W80-S81,IF(S81&gt;R81,W80-T81,W80+T81))),"")</f>
        <v>25569.1875</v>
      </c>
    </row>
    <row x14ac:dyDescent="0.25" r="82" customHeight="1" ht="17.25">
      <c r="A82" s="21"/>
      <c r="B82" s="24"/>
      <c r="C82" s="35"/>
      <c r="D82" s="35"/>
      <c r="E82" s="37"/>
      <c r="F82" s="37"/>
      <c r="G82" s="21"/>
      <c r="H82" s="21"/>
      <c r="I82" s="21"/>
      <c r="J82" s="43">
        <f>IFERROR(DATE((LEFT(B82,4)),MID(B82,5,2),RIGHT(B82,2)),"")</f>
        <v>25569.1875</v>
      </c>
      <c r="K82" s="21"/>
      <c r="L82" s="49">
        <f>IF(A82="Total Hours","",IF(J82="",L81,J82))</f>
        <v>25569.1875</v>
      </c>
      <c r="M82" s="50">
        <f>A82</f>
      </c>
      <c r="N82" s="17">
        <f>IF(C82="",IF(U82="",C82,""),C82)</f>
        <v>25569.1875</v>
      </c>
      <c r="O82" s="17">
        <f>IF(D82="",IF(U82="",D82,""),D82)</f>
        <v>25569.1875</v>
      </c>
      <c r="P82" s="17">
        <f>IFERROR(IF(N82&gt;O82,G82,O82-N82),"")</f>
        <v>25569.1875</v>
      </c>
      <c r="Q82" s="17">
        <f>IF(U82="",TIME(0,30,0),"")</f>
        <v>25569.1875</v>
      </c>
      <c r="R82" s="17">
        <f>IFERROR(IF(OR(IFERROR((P82-Q82)&lt;0,""),P82="Missing OUT"),"ATTENTION",P82-Q82),"")</f>
        <v>25569.1875</v>
      </c>
      <c r="S82" s="17">
        <f>TIME(8,0,0)</f>
        <v>25569.1875</v>
      </c>
      <c r="T82" s="17">
        <f>IFERROR(IF(R82="ATTENTION",TIME(8,0,0),IF(S82&gt;R82,S82-R82,R82-S82)),"")</f>
        <v>25569.1875</v>
      </c>
      <c r="U82" s="18">
        <f>IFERROR(VLOOKUP(L82,Calendar!$A$2:$C$261,3,0),"")</f>
      </c>
      <c r="V82" s="19">
        <f>IF(AND(LEN(C82)&gt;0,LEN(D82)=0),"NO CHECK-OUT","")</f>
      </c>
      <c r="W82" s="20">
        <f>IFERROR(IF(R82="",W81,IF(R82="ATTENTION",W81-S82,IF(S82&gt;R82,W81-T82,W81+T82))),"")</f>
        <v>25569.1875</v>
      </c>
    </row>
    <row x14ac:dyDescent="0.25" r="83" customHeight="1" ht="17.25">
      <c r="A83" s="21"/>
      <c r="B83" s="24"/>
      <c r="C83" s="35"/>
      <c r="D83" s="35"/>
      <c r="E83" s="37"/>
      <c r="F83" s="37"/>
      <c r="G83" s="21"/>
      <c r="H83" s="21"/>
      <c r="I83" s="21"/>
      <c r="J83" s="43">
        <f>IFERROR(DATE((LEFT(B83,4)),MID(B83,5,2),RIGHT(B83,2)),"")</f>
        <v>25569.1875</v>
      </c>
      <c r="K83" s="21"/>
      <c r="L83" s="49">
        <f>IF(A83="Total Hours","",IF(J83="",L82,J83))</f>
        <v>25569.1875</v>
      </c>
      <c r="M83" s="50">
        <f>A83</f>
      </c>
      <c r="N83" s="17">
        <f>IF(C83="",IF(U83="",C83,""),C83)</f>
        <v>25569.1875</v>
      </c>
      <c r="O83" s="17">
        <f>IF(D83="",IF(U83="",D83,""),D83)</f>
        <v>25569.1875</v>
      </c>
      <c r="P83" s="17">
        <f>IFERROR(IF(N83&gt;O83,G83,O83-N83),"")</f>
        <v>25569.1875</v>
      </c>
      <c r="Q83" s="17">
        <f>IF(U83="",TIME(0,30,0),"")</f>
        <v>25569.1875</v>
      </c>
      <c r="R83" s="17">
        <f>IFERROR(IF(OR(IFERROR((P83-Q83)&lt;0,""),P83="Missing OUT"),"ATTENTION",P83-Q83),"")</f>
        <v>25569.1875</v>
      </c>
      <c r="S83" s="17">
        <f>TIME(8,0,0)</f>
        <v>25569.1875</v>
      </c>
      <c r="T83" s="17">
        <f>IFERROR(IF(R83="ATTENTION",TIME(8,0,0),IF(S83&gt;R83,S83-R83,R83-S83)),"")</f>
        <v>25569.1875</v>
      </c>
      <c r="U83" s="18">
        <f>IFERROR(VLOOKUP(L83,Calendar!$A$2:$C$261,3,0),"")</f>
      </c>
      <c r="V83" s="19">
        <f>IF(AND(LEN(C83)&gt;0,LEN(D83)=0),"NO CHECK-OUT","")</f>
      </c>
      <c r="W83" s="20">
        <f>IFERROR(IF(R83="",W82,IF(R83="ATTENTION",W82-S83,IF(S83&gt;R83,W82-T83,W82+T83))),"")</f>
        <v>25569.1875</v>
      </c>
    </row>
    <row x14ac:dyDescent="0.25" r="84" customHeight="1" ht="17.25">
      <c r="A84" s="21"/>
      <c r="B84" s="24"/>
      <c r="C84" s="35"/>
      <c r="D84" s="35"/>
      <c r="E84" s="37"/>
      <c r="F84" s="37"/>
      <c r="G84" s="21"/>
      <c r="H84" s="21"/>
      <c r="I84" s="21"/>
      <c r="J84" s="43">
        <f>IFERROR(DATE((LEFT(B84,4)),MID(B84,5,2),RIGHT(B84,2)),"")</f>
        <v>25569.1875</v>
      </c>
      <c r="K84" s="21"/>
      <c r="L84" s="49">
        <f>IF(A84="Total Hours","",IF(J84="",L83,J84))</f>
        <v>25569.1875</v>
      </c>
      <c r="M84" s="50">
        <f>A84</f>
      </c>
      <c r="N84" s="17">
        <f>IF(C84="",IF(U84="",C84,""),C84)</f>
        <v>25569.1875</v>
      </c>
      <c r="O84" s="17">
        <f>IF(D84="",IF(U84="",D84,""),D84)</f>
        <v>25569.1875</v>
      </c>
      <c r="P84" s="17">
        <f>IFERROR(IF(N84&gt;O84,G84,O84-N84),"")</f>
        <v>25569.1875</v>
      </c>
      <c r="Q84" s="17">
        <f>IF(U84="",TIME(0,30,0),"")</f>
        <v>25569.1875</v>
      </c>
      <c r="R84" s="17">
        <f>IFERROR(IF(OR(IFERROR((P84-Q84)&lt;0,""),P84="Missing OUT"),"ATTENTION",P84-Q84),"")</f>
        <v>25569.1875</v>
      </c>
      <c r="S84" s="17">
        <f>TIME(8,0,0)</f>
        <v>25569.1875</v>
      </c>
      <c r="T84" s="17">
        <f>IFERROR(IF(R84="ATTENTION",TIME(8,0,0),IF(S84&gt;R84,S84-R84,R84-S84)),"")</f>
        <v>25569.1875</v>
      </c>
      <c r="U84" s="18">
        <f>IFERROR(VLOOKUP(L84,Calendar!$A$2:$C$261,3,0),"")</f>
      </c>
      <c r="V84" s="19">
        <f>IF(AND(LEN(C84)&gt;0,LEN(D84)=0),"NO CHECK-OUT","")</f>
      </c>
      <c r="W84" s="20">
        <f>IFERROR(IF(R84="",W83,IF(R84="ATTENTION",W83-S84,IF(S84&gt;R84,W83-T84,W83+T84))),"")</f>
        <v>25569.1875</v>
      </c>
    </row>
    <row x14ac:dyDescent="0.25" r="85" customHeight="1" ht="17.25">
      <c r="A85" s="21"/>
      <c r="B85" s="24"/>
      <c r="C85" s="35"/>
      <c r="D85" s="35"/>
      <c r="E85" s="37"/>
      <c r="F85" s="37"/>
      <c r="G85" s="21"/>
      <c r="H85" s="21"/>
      <c r="I85" s="21"/>
      <c r="J85" s="43">
        <f>IFERROR(DATE((LEFT(B85,4)),MID(B85,5,2),RIGHT(B85,2)),"")</f>
        <v>25569.1875</v>
      </c>
      <c r="K85" s="21"/>
      <c r="L85" s="49">
        <f>IF(A85="Total Hours","",IF(J85="",L84,J85))</f>
        <v>25569.1875</v>
      </c>
      <c r="M85" s="50">
        <f>A85</f>
      </c>
      <c r="N85" s="17">
        <f>IF(C85="",IF(U85="",C85,""),C85)</f>
        <v>25569.1875</v>
      </c>
      <c r="O85" s="17">
        <f>IF(D85="",IF(U85="",D85,""),D85)</f>
        <v>25569.1875</v>
      </c>
      <c r="P85" s="17">
        <f>IFERROR(IF(N85&gt;O85,G85,O85-N85),"")</f>
        <v>25569.1875</v>
      </c>
      <c r="Q85" s="17">
        <f>IF(U85="",TIME(0,30,0),"")</f>
        <v>25569.1875</v>
      </c>
      <c r="R85" s="17">
        <f>IFERROR(IF(OR(IFERROR((P85-Q85)&lt;0,""),P85="Missing OUT"),"ATTENTION",P85-Q85),"")</f>
        <v>25569.1875</v>
      </c>
      <c r="S85" s="17">
        <f>TIME(8,0,0)</f>
        <v>25569.1875</v>
      </c>
      <c r="T85" s="17">
        <f>IFERROR(IF(R85="ATTENTION",TIME(8,0,0),IF(S85&gt;R85,S85-R85,R85-S85)),"")</f>
        <v>25569.1875</v>
      </c>
      <c r="U85" s="18">
        <f>IFERROR(VLOOKUP(L85,Calendar!$A$2:$C$261,3,0),"")</f>
      </c>
      <c r="V85" s="19">
        <f>IF(AND(LEN(C85)&gt;0,LEN(D85)=0),"NO CHECK-OUT","")</f>
      </c>
      <c r="W85" s="20">
        <f>IFERROR(IF(R85="",W84,IF(R85="ATTENTION",W84-S85,IF(S85&gt;R85,W84-T85,W84+T85))),"")</f>
        <v>25569.1875</v>
      </c>
    </row>
    <row x14ac:dyDescent="0.25" r="86" customHeight="1" ht="17.25">
      <c r="A86" s="21"/>
      <c r="B86" s="24"/>
      <c r="C86" s="35"/>
      <c r="D86" s="35"/>
      <c r="E86" s="37"/>
      <c r="F86" s="37"/>
      <c r="G86" s="21"/>
      <c r="H86" s="21"/>
      <c r="I86" s="21"/>
      <c r="J86" s="43">
        <f>IFERROR(DATE((LEFT(B86,4)),MID(B86,5,2),RIGHT(B86,2)),"")</f>
        <v>25569.1875</v>
      </c>
      <c r="K86" s="21"/>
      <c r="L86" s="49">
        <f>IF(A86="Total Hours","",IF(J86="",L85,J86))</f>
        <v>25569.1875</v>
      </c>
      <c r="M86" s="50">
        <f>A86</f>
      </c>
      <c r="N86" s="17">
        <f>IF(C86="",IF(U86="",C86,""),C86)</f>
        <v>25569.1875</v>
      </c>
      <c r="O86" s="17">
        <f>IF(D86="",IF(U86="",D86,""),D86)</f>
        <v>25569.1875</v>
      </c>
      <c r="P86" s="17">
        <f>IFERROR(IF(N86&gt;O86,G86,O86-N86),"")</f>
        <v>25569.1875</v>
      </c>
      <c r="Q86" s="17">
        <f>IF(U86="",TIME(0,30,0),"")</f>
        <v>25569.1875</v>
      </c>
      <c r="R86" s="17">
        <f>IFERROR(IF(OR(IFERROR((P86-Q86)&lt;0,""),P86="Missing OUT"),"ATTENTION",P86-Q86),"")</f>
        <v>25569.1875</v>
      </c>
      <c r="S86" s="17">
        <f>TIME(8,0,0)</f>
        <v>25569.1875</v>
      </c>
      <c r="T86" s="17">
        <f>IFERROR(IF(R86="ATTENTION",TIME(8,0,0),IF(S86&gt;R86,S86-R86,R86-S86)),"")</f>
        <v>25569.1875</v>
      </c>
      <c r="U86" s="18">
        <f>IFERROR(VLOOKUP(L86,Calendar!$A$2:$C$261,3,0),"")</f>
      </c>
      <c r="V86" s="19">
        <f>IF(AND(LEN(C86)&gt;0,LEN(D86)=0),"NO CHECK-OUT","")</f>
      </c>
      <c r="W86" s="20">
        <f>IFERROR(IF(R86="",W85,IF(R86="ATTENTION",W85-S86,IF(S86&gt;R86,W85-T86,W85+T86))),"")</f>
        <v>25569.1875</v>
      </c>
    </row>
    <row x14ac:dyDescent="0.25" r="87" customHeight="1" ht="17.25">
      <c r="A87" s="21"/>
      <c r="B87" s="24"/>
      <c r="C87" s="35"/>
      <c r="D87" s="35"/>
      <c r="E87" s="37"/>
      <c r="F87" s="37"/>
      <c r="G87" s="21"/>
      <c r="H87" s="21"/>
      <c r="I87" s="21"/>
      <c r="J87" s="43">
        <f>IFERROR(DATE((LEFT(B87,4)),MID(B87,5,2),RIGHT(B87,2)),"")</f>
        <v>25569.1875</v>
      </c>
      <c r="K87" s="21"/>
      <c r="L87" s="49">
        <f>IF(A87="Total Hours","",IF(J87="",L86,J87))</f>
        <v>25569.1875</v>
      </c>
      <c r="M87" s="50">
        <f>A87</f>
      </c>
      <c r="N87" s="17">
        <f>IF(C87="",IF(U87="",C87,""),C87)</f>
        <v>25569.1875</v>
      </c>
      <c r="O87" s="17">
        <f>IF(D87="",IF(U87="",D87,""),D87)</f>
        <v>25569.1875</v>
      </c>
      <c r="P87" s="17">
        <f>IFERROR(IF(N87&gt;O87,G87,O87-N87),"")</f>
        <v>25569.1875</v>
      </c>
      <c r="Q87" s="17">
        <f>IF(U87="",TIME(0,30,0),"")</f>
        <v>25569.1875</v>
      </c>
      <c r="R87" s="17">
        <f>IFERROR(IF(OR(IFERROR((P87-Q87)&lt;0,""),P87="Missing OUT"),"ATTENTION",P87-Q87),"")</f>
        <v>25569.1875</v>
      </c>
      <c r="S87" s="17">
        <f>TIME(8,0,0)</f>
        <v>25569.1875</v>
      </c>
      <c r="T87" s="17">
        <f>IFERROR(IF(R87="ATTENTION",TIME(8,0,0),IF(S87&gt;R87,S87-R87,R87-S87)),"")</f>
        <v>25569.1875</v>
      </c>
      <c r="U87" s="18">
        <f>IFERROR(VLOOKUP(L87,Calendar!$A$2:$C$261,3,0),"")</f>
      </c>
      <c r="V87" s="19">
        <f>IF(AND(LEN(C87)&gt;0,LEN(D87)=0),"NO CHECK-OUT","")</f>
      </c>
      <c r="W87" s="20">
        <f>IFERROR(IF(R87="",W86,IF(R87="ATTENTION",W86-S87,IF(S87&gt;R87,W86-T87,W86+T87))),"")</f>
        <v>25569.1875</v>
      </c>
    </row>
    <row x14ac:dyDescent="0.25" r="88" customHeight="1" ht="17.25">
      <c r="A88" s="21"/>
      <c r="B88" s="24"/>
      <c r="C88" s="35"/>
      <c r="D88" s="35"/>
      <c r="E88" s="37"/>
      <c r="F88" s="37"/>
      <c r="G88" s="21"/>
      <c r="H88" s="21"/>
      <c r="I88" s="21"/>
      <c r="J88" s="43">
        <f>IFERROR(DATE((LEFT(B88,4)),MID(B88,5,2),RIGHT(B88,2)),"")</f>
        <v>25569.1875</v>
      </c>
      <c r="K88" s="21"/>
      <c r="L88" s="49">
        <f>IF(A88="Total Hours","",IF(J88="",L87,J88))</f>
        <v>25569.1875</v>
      </c>
      <c r="M88" s="50">
        <f>A88</f>
      </c>
      <c r="N88" s="17">
        <f>IF(C88="",IF(U88="",C88,""),C88)</f>
        <v>25569.1875</v>
      </c>
      <c r="O88" s="17">
        <f>IF(D88="",IF(U88="",D88,""),D88)</f>
        <v>25569.1875</v>
      </c>
      <c r="P88" s="17">
        <f>IFERROR(IF(N88&gt;O88,G88,O88-N88),"")</f>
        <v>25569.1875</v>
      </c>
      <c r="Q88" s="17">
        <f>IF(U88="",TIME(0,30,0),"")</f>
        <v>25569.1875</v>
      </c>
      <c r="R88" s="17">
        <f>IFERROR(IF(OR(IFERROR((P88-Q88)&lt;0,""),P88="Missing OUT"),"ATTENTION",P88-Q88),"")</f>
        <v>25569.1875</v>
      </c>
      <c r="S88" s="17">
        <f>TIME(8,0,0)</f>
        <v>25569.1875</v>
      </c>
      <c r="T88" s="17">
        <f>IFERROR(IF(R88="ATTENTION",TIME(8,0,0),IF(S88&gt;R88,S88-R88,R88-S88)),"")</f>
        <v>25569.1875</v>
      </c>
      <c r="U88" s="18">
        <f>IFERROR(VLOOKUP(L88,Calendar!$A$2:$C$261,3,0),"")</f>
      </c>
      <c r="V88" s="19">
        <f>IF(AND(LEN(C88)&gt;0,LEN(D88)=0),"NO CHECK-OUT","")</f>
      </c>
      <c r="W88" s="20">
        <f>IFERROR(IF(R88="",W87,IF(R88="ATTENTION",W87-S88,IF(S88&gt;R88,W87-T88,W87+T88))),"")</f>
        <v>25569.1875</v>
      </c>
    </row>
    <row x14ac:dyDescent="0.25" r="89" customHeight="1" ht="17.25">
      <c r="A89" s="21"/>
      <c r="B89" s="24"/>
      <c r="C89" s="35"/>
      <c r="D89" s="35"/>
      <c r="E89" s="37"/>
      <c r="F89" s="37"/>
      <c r="G89" s="21"/>
      <c r="H89" s="21"/>
      <c r="I89" s="21"/>
      <c r="J89" s="43">
        <f>IFERROR(DATE((LEFT(B89,4)),MID(B89,5,2),RIGHT(B89,2)),"")</f>
        <v>25569.1875</v>
      </c>
      <c r="K89" s="21"/>
      <c r="L89" s="49">
        <f>IF(A89="Total Hours","",IF(J89="",L88,J89))</f>
        <v>25569.1875</v>
      </c>
      <c r="M89" s="50">
        <f>A89</f>
      </c>
      <c r="N89" s="17">
        <f>IF(C89="",IF(U89="",C89,""),C89)</f>
        <v>25569.1875</v>
      </c>
      <c r="O89" s="17">
        <f>IF(D89="",IF(U89="",D89,""),D89)</f>
        <v>25569.1875</v>
      </c>
      <c r="P89" s="17">
        <f>IFERROR(IF(N89&gt;O89,G89,O89-N89),"")</f>
        <v>25569.1875</v>
      </c>
      <c r="Q89" s="17">
        <f>IF(U89="",TIME(0,30,0),"")</f>
        <v>25569.1875</v>
      </c>
      <c r="R89" s="17">
        <f>IFERROR(IF(OR(IFERROR((P89-Q89)&lt;0,""),P89="Missing OUT"),"ATTENTION",P89-Q89),"")</f>
        <v>25569.1875</v>
      </c>
      <c r="S89" s="17">
        <f>TIME(8,0,0)</f>
        <v>25569.1875</v>
      </c>
      <c r="T89" s="17">
        <f>IFERROR(IF(R89="ATTENTION",TIME(8,0,0),IF(S89&gt;R89,S89-R89,R89-S89)),"")</f>
        <v>25569.1875</v>
      </c>
      <c r="U89" s="18">
        <f>IFERROR(VLOOKUP(L89,Calendar!$A$2:$C$261,3,0),"")</f>
      </c>
      <c r="V89" s="19">
        <f>IF(AND(LEN(C89)&gt;0,LEN(D89)=0),"NO CHECK-OUT","")</f>
      </c>
      <c r="W89" s="20">
        <f>IFERROR(IF(R89="",W88,IF(R89="ATTENTION",W88-S89,IF(S89&gt;R89,W88-T89,W88+T89))),"")</f>
        <v>25569.1875</v>
      </c>
    </row>
    <row x14ac:dyDescent="0.25" r="90" customHeight="1" ht="17.25">
      <c r="A90" s="21"/>
      <c r="B90" s="24"/>
      <c r="C90" s="35"/>
      <c r="D90" s="35"/>
      <c r="E90" s="37"/>
      <c r="F90" s="37"/>
      <c r="G90" s="21"/>
      <c r="H90" s="21"/>
      <c r="I90" s="21"/>
      <c r="J90" s="43">
        <f>IFERROR(DATE((LEFT(B90,4)),MID(B90,5,2),RIGHT(B90,2)),"")</f>
        <v>25569.1875</v>
      </c>
      <c r="K90" s="21"/>
      <c r="L90" s="49">
        <f>IF(A90="Total Hours","",IF(J90="",L89,J90))</f>
        <v>25569.1875</v>
      </c>
      <c r="M90" s="50">
        <f>A90</f>
      </c>
      <c r="N90" s="17">
        <f>IF(C90="",IF(U90="",C90,""),C90)</f>
        <v>25569.1875</v>
      </c>
      <c r="O90" s="17">
        <f>IF(D90="",IF(U90="",D90,""),D90)</f>
        <v>25569.1875</v>
      </c>
      <c r="P90" s="17">
        <f>IFERROR(IF(N90&gt;O90,G90,O90-N90),"")</f>
        <v>25569.1875</v>
      </c>
      <c r="Q90" s="17">
        <f>IF(U90="",TIME(0,30,0),"")</f>
        <v>25569.1875</v>
      </c>
      <c r="R90" s="17">
        <f>IFERROR(IF(OR(IFERROR((P90-Q90)&lt;0,""),P90="Missing OUT"),"ATTENTION",P90-Q90),"")</f>
        <v>25569.1875</v>
      </c>
      <c r="S90" s="17">
        <f>TIME(8,0,0)</f>
        <v>25569.1875</v>
      </c>
      <c r="T90" s="17">
        <f>IFERROR(IF(R90="ATTENTION",TIME(8,0,0),IF(S90&gt;R90,S90-R90,R90-S90)),"")</f>
        <v>25569.1875</v>
      </c>
      <c r="U90" s="18">
        <f>IFERROR(VLOOKUP(L90,Calendar!$A$2:$C$261,3,0),"")</f>
      </c>
      <c r="V90" s="19">
        <f>IF(AND(LEN(C90)&gt;0,LEN(D90)=0),"NO CHECK-OUT","")</f>
      </c>
      <c r="W90" s="20">
        <f>IFERROR(IF(R90="",W89,IF(R90="ATTENTION",W89-S90,IF(S90&gt;R90,W89-T90,W89+T90))),"")</f>
        <v>25569.1875</v>
      </c>
    </row>
    <row x14ac:dyDescent="0.25" r="91" customHeight="1" ht="17.25">
      <c r="A91" s="21"/>
      <c r="B91" s="24"/>
      <c r="C91" s="35"/>
      <c r="D91" s="35"/>
      <c r="E91" s="37"/>
      <c r="F91" s="37"/>
      <c r="G91" s="21"/>
      <c r="H91" s="21"/>
      <c r="I91" s="21"/>
      <c r="J91" s="43">
        <f>IFERROR(DATE((LEFT(B91,4)),MID(B91,5,2),RIGHT(B91,2)),"")</f>
        <v>25569.1875</v>
      </c>
      <c r="K91" s="21"/>
      <c r="L91" s="49">
        <f>IF(A91="Total Hours","",IF(J91="",L90,J91))</f>
        <v>25569.1875</v>
      </c>
      <c r="M91" s="50">
        <f>A91</f>
      </c>
      <c r="N91" s="17">
        <f>IF(C91="",IF(U91="",C91,""),C91)</f>
        <v>25569.1875</v>
      </c>
      <c r="O91" s="17">
        <f>IF(D91="",IF(U91="",D91,""),D91)</f>
        <v>25569.1875</v>
      </c>
      <c r="P91" s="17">
        <f>IFERROR(IF(N91&gt;O91,G91,O91-N91),"")</f>
        <v>25569.1875</v>
      </c>
      <c r="Q91" s="17">
        <f>IF(U91="",TIME(0,30,0),"")</f>
        <v>25569.1875</v>
      </c>
      <c r="R91" s="17">
        <f>IFERROR(IF(OR(IFERROR((P91-Q91)&lt;0,""),P91="Missing OUT"),"ATTENTION",P91-Q91),"")</f>
        <v>25569.1875</v>
      </c>
      <c r="S91" s="17">
        <f>TIME(8,0,0)</f>
        <v>25569.1875</v>
      </c>
      <c r="T91" s="17">
        <f>IFERROR(IF(R91="ATTENTION",TIME(8,0,0),IF(S91&gt;R91,S91-R91,R91-S91)),"")</f>
        <v>25569.1875</v>
      </c>
      <c r="U91" s="18">
        <f>IFERROR(VLOOKUP(L91,Calendar!$A$2:$C$261,3,0),"")</f>
      </c>
      <c r="V91" s="19">
        <f>IF(AND(LEN(C91)&gt;0,LEN(D91)=0),"NO CHECK-OUT","")</f>
      </c>
      <c r="W91" s="20">
        <f>IFERROR(IF(R91="",W90,IF(R91="ATTENTION",W90-S91,IF(S91&gt;R91,W90-T91,W90+T91))),"")</f>
        <v>25569.1875</v>
      </c>
    </row>
    <row x14ac:dyDescent="0.25" r="92" customHeight="1" ht="17.25">
      <c r="A92" s="21"/>
      <c r="B92" s="24"/>
      <c r="C92" s="35"/>
      <c r="D92" s="35"/>
      <c r="E92" s="37"/>
      <c r="F92" s="37"/>
      <c r="G92" s="21"/>
      <c r="H92" s="21"/>
      <c r="I92" s="21"/>
      <c r="J92" s="43">
        <f>IFERROR(DATE((LEFT(B92,4)),MID(B92,5,2),RIGHT(B92,2)),"")</f>
        <v>25569.1875</v>
      </c>
      <c r="K92" s="21"/>
      <c r="L92" s="49">
        <f>IF(A92="Total Hours","",IF(J92="",L91,J92))</f>
        <v>25569.1875</v>
      </c>
      <c r="M92" s="50">
        <f>A92</f>
      </c>
      <c r="N92" s="17">
        <f>IF(C92="",IF(U92="",C92,""),C92)</f>
        <v>25569.1875</v>
      </c>
      <c r="O92" s="17">
        <f>IF(D92="",IF(U92="",D92,""),D92)</f>
        <v>25569.1875</v>
      </c>
      <c r="P92" s="17">
        <f>IFERROR(IF(N92&gt;O92,G92,O92-N92),"")</f>
        <v>25569.1875</v>
      </c>
      <c r="Q92" s="17">
        <f>IF(U92="",TIME(0,30,0),"")</f>
        <v>25569.1875</v>
      </c>
      <c r="R92" s="17">
        <f>IFERROR(IF(OR(IFERROR((P92-Q92)&lt;0,""),P92="Missing OUT"),"ATTENTION",P92-Q92),"")</f>
        <v>25569.1875</v>
      </c>
      <c r="S92" s="17">
        <f>TIME(8,0,0)</f>
        <v>25569.1875</v>
      </c>
      <c r="T92" s="17">
        <f>IFERROR(IF(R92="ATTENTION",TIME(8,0,0),IF(S92&gt;R92,S92-R92,R92-S92)),"")</f>
        <v>25569.1875</v>
      </c>
      <c r="U92" s="18">
        <f>IFERROR(VLOOKUP(L92,Calendar!$A$2:$C$261,3,0),"")</f>
      </c>
      <c r="V92" s="19">
        <f>IF(AND(LEN(C92)&gt;0,LEN(D92)=0),"NO CHECK-OUT","")</f>
      </c>
      <c r="W92" s="20">
        <f>IFERROR(IF(R92="",W91,IF(R92="ATTENTION",W91-S92,IF(S92&gt;R92,W91-T92,W91+T92))),"")</f>
        <v>25569.1875</v>
      </c>
    </row>
    <row x14ac:dyDescent="0.25" r="93" customHeight="1" ht="17.25">
      <c r="A93" s="21"/>
      <c r="B93" s="24"/>
      <c r="C93" s="35"/>
      <c r="D93" s="35"/>
      <c r="E93" s="37"/>
      <c r="F93" s="37"/>
      <c r="G93" s="21"/>
      <c r="H93" s="21"/>
      <c r="I93" s="21"/>
      <c r="J93" s="43">
        <f>IFERROR(DATE((LEFT(B93,4)),MID(B93,5,2),RIGHT(B93,2)),"")</f>
        <v>25569.1875</v>
      </c>
      <c r="K93" s="21"/>
      <c r="L93" s="49">
        <f>IF(A93="Total Hours","",IF(J93="",L92,J93))</f>
        <v>25569.1875</v>
      </c>
      <c r="M93" s="50">
        <f>A93</f>
      </c>
      <c r="N93" s="17">
        <f>IF(C93="",IF(U93="",C93,""),C93)</f>
        <v>25569.1875</v>
      </c>
      <c r="O93" s="17">
        <f>IF(D93="",IF(U93="",D93,""),D93)</f>
        <v>25569.1875</v>
      </c>
      <c r="P93" s="17">
        <f>IFERROR(IF(N93&gt;O93,G93,O93-N93),"")</f>
        <v>25569.1875</v>
      </c>
      <c r="Q93" s="17">
        <f>IF(U93="",TIME(0,30,0),"")</f>
        <v>25569.1875</v>
      </c>
      <c r="R93" s="17">
        <f>IFERROR(IF(OR(IFERROR((P93-Q93)&lt;0,""),P93="Missing OUT"),"ATTENTION",P93-Q93),"")</f>
        <v>25569.1875</v>
      </c>
      <c r="S93" s="17">
        <f>TIME(8,0,0)</f>
        <v>25569.1875</v>
      </c>
      <c r="T93" s="17">
        <f>IFERROR(IF(R93="ATTENTION",TIME(8,0,0),IF(S93&gt;R93,S93-R93,R93-S93)),"")</f>
        <v>25569.1875</v>
      </c>
      <c r="U93" s="18">
        <f>IFERROR(VLOOKUP(L93,Calendar!$A$2:$C$261,3,0),"")</f>
      </c>
      <c r="V93" s="19">
        <f>IF(AND(LEN(C93)&gt;0,LEN(D93)=0),"NO CHECK-OUT","")</f>
      </c>
      <c r="W93" s="20">
        <f>IFERROR(IF(R93="",W92,IF(R93="ATTENTION",W92-S93,IF(S93&gt;R93,W92-T93,W92+T93))),"")</f>
        <v>25569.1875</v>
      </c>
    </row>
    <row x14ac:dyDescent="0.25" r="94" customHeight="1" ht="17.25">
      <c r="A94" s="21"/>
      <c r="B94" s="24"/>
      <c r="C94" s="35"/>
      <c r="D94" s="35"/>
      <c r="E94" s="37"/>
      <c r="F94" s="37"/>
      <c r="G94" s="21"/>
      <c r="H94" s="21"/>
      <c r="I94" s="21"/>
      <c r="J94" s="43">
        <f>IFERROR(DATE((LEFT(B94,4)),MID(B94,5,2),RIGHT(B94,2)),"")</f>
        <v>25569.1875</v>
      </c>
      <c r="K94" s="21"/>
      <c r="L94" s="49">
        <f>IF(A94="Total Hours","",IF(J94="",L93,J94))</f>
        <v>25569.1875</v>
      </c>
      <c r="M94" s="50">
        <f>A94</f>
      </c>
      <c r="N94" s="17">
        <f>IF(C94="",IF(U94="",C94,""),C94)</f>
        <v>25569.1875</v>
      </c>
      <c r="O94" s="17">
        <f>IF(D94="",IF(U94="",D94,""),D94)</f>
        <v>25569.1875</v>
      </c>
      <c r="P94" s="17">
        <f>IFERROR(IF(N94&gt;O94,G94,O94-N94),"")</f>
        <v>25569.1875</v>
      </c>
      <c r="Q94" s="17">
        <f>IF(U94="",TIME(0,30,0),"")</f>
        <v>25569.1875</v>
      </c>
      <c r="R94" s="17">
        <f>IFERROR(IF(OR(IFERROR((P94-Q94)&lt;0,""),P94="Missing OUT"),"ATTENTION",P94-Q94),"")</f>
        <v>25569.1875</v>
      </c>
      <c r="S94" s="17">
        <f>TIME(8,0,0)</f>
        <v>25569.1875</v>
      </c>
      <c r="T94" s="17">
        <f>IFERROR(IF(R94="ATTENTION",TIME(8,0,0),IF(S94&gt;R94,S94-R94,R94-S94)),"")</f>
        <v>25569.1875</v>
      </c>
      <c r="U94" s="18">
        <f>IFERROR(VLOOKUP(L94,Calendar!$A$2:$C$261,3,0),"")</f>
      </c>
      <c r="V94" s="19">
        <f>IF(AND(LEN(C94)&gt;0,LEN(D94)=0),"NO CHECK-OUT","")</f>
      </c>
      <c r="W94" s="20">
        <f>IFERROR(IF(R94="",W93,IF(R94="ATTENTION",W93-S94,IF(S94&gt;R94,W93-T94,W93+T94))),"")</f>
        <v>25569.1875</v>
      </c>
    </row>
    <row x14ac:dyDescent="0.25" r="95" customHeight="1" ht="17.25">
      <c r="A95" s="21"/>
      <c r="B95" s="24"/>
      <c r="C95" s="35"/>
      <c r="D95" s="35"/>
      <c r="E95" s="37"/>
      <c r="F95" s="37"/>
      <c r="G95" s="21"/>
      <c r="H95" s="21"/>
      <c r="I95" s="21"/>
      <c r="J95" s="43">
        <f>IFERROR(DATE((LEFT(B95,4)),MID(B95,5,2),RIGHT(B95,2)),"")</f>
        <v>25569.1875</v>
      </c>
      <c r="K95" s="21"/>
      <c r="L95" s="49">
        <f>IF(A95="Total Hours","",IF(J95="",L94,J95))</f>
        <v>25569.1875</v>
      </c>
      <c r="M95" s="50">
        <f>A95</f>
      </c>
      <c r="N95" s="17">
        <f>IF(C95="",IF(U95="",C95,""),C95)</f>
        <v>25569.1875</v>
      </c>
      <c r="O95" s="17">
        <f>IF(D95="",IF(U95="",D95,""),D95)</f>
        <v>25569.1875</v>
      </c>
      <c r="P95" s="17">
        <f>IFERROR(IF(N95&gt;O95,G95,O95-N95),"")</f>
        <v>25569.1875</v>
      </c>
      <c r="Q95" s="17">
        <f>IF(U95="",TIME(0,30,0),"")</f>
        <v>25569.1875</v>
      </c>
      <c r="R95" s="17">
        <f>IFERROR(IF(OR(IFERROR((P95-Q95)&lt;0,""),P95="Missing OUT"),"ATTENTION",P95-Q95),"")</f>
        <v>25569.1875</v>
      </c>
      <c r="S95" s="17">
        <f>TIME(8,0,0)</f>
        <v>25569.1875</v>
      </c>
      <c r="T95" s="17">
        <f>IFERROR(IF(R95="ATTENTION",TIME(8,0,0),IF(S95&gt;R95,S95-R95,R95-S95)),"")</f>
        <v>25569.1875</v>
      </c>
      <c r="U95" s="18">
        <f>IFERROR(VLOOKUP(L95,Calendar!$A$2:$C$261,3,0),"")</f>
      </c>
      <c r="V95" s="19">
        <f>IF(AND(LEN(C95)&gt;0,LEN(D95)=0),"NO CHECK-OUT","")</f>
      </c>
      <c r="W95" s="20">
        <f>IFERROR(IF(R95="",W94,IF(R95="ATTENTION",W94-S95,IF(S95&gt;R95,W94-T95,W94+T95))),"")</f>
        <v>25569.1875</v>
      </c>
    </row>
    <row x14ac:dyDescent="0.25" r="96" customHeight="1" ht="17.25">
      <c r="A96" s="21"/>
      <c r="B96" s="24"/>
      <c r="C96" s="35"/>
      <c r="D96" s="35"/>
      <c r="E96" s="37"/>
      <c r="F96" s="37"/>
      <c r="G96" s="21"/>
      <c r="H96" s="21"/>
      <c r="I96" s="21"/>
      <c r="J96" s="43">
        <f>IFERROR(DATE((LEFT(B96,4)),MID(B96,5,2),RIGHT(B96,2)),"")</f>
        <v>25569.1875</v>
      </c>
      <c r="K96" s="21"/>
      <c r="L96" s="49">
        <f>IF(A96="Total Hours","",IF(J96="",L95,J96))</f>
        <v>25569.1875</v>
      </c>
      <c r="M96" s="50">
        <f>A96</f>
      </c>
      <c r="N96" s="17">
        <f>IF(C96="",IF(U96="",C96,""),C96)</f>
        <v>25569.1875</v>
      </c>
      <c r="O96" s="17">
        <f>IF(D96="",IF(U96="",D96,""),D96)</f>
        <v>25569.1875</v>
      </c>
      <c r="P96" s="17">
        <f>IFERROR(IF(N96&gt;O96,G96,O96-N96),"")</f>
        <v>25569.1875</v>
      </c>
      <c r="Q96" s="17">
        <f>IF(U96="",TIME(0,30,0),"")</f>
        <v>25569.1875</v>
      </c>
      <c r="R96" s="17">
        <f>IFERROR(IF(OR(IFERROR((P96-Q96)&lt;0,""),P96="Missing OUT"),"ATTENTION",P96-Q96),"")</f>
        <v>25569.1875</v>
      </c>
      <c r="S96" s="17">
        <f>TIME(8,0,0)</f>
        <v>25569.1875</v>
      </c>
      <c r="T96" s="17">
        <f>IFERROR(IF(R96="ATTENTION",TIME(8,0,0),IF(S96&gt;R96,S96-R96,R96-S96)),"")</f>
        <v>25569.1875</v>
      </c>
      <c r="U96" s="18">
        <f>IFERROR(VLOOKUP(L96,Calendar!$A$2:$C$261,3,0),"")</f>
      </c>
      <c r="V96" s="19">
        <f>IF(AND(LEN(C96)&gt;0,LEN(D96)=0),"NO CHECK-OUT","")</f>
      </c>
      <c r="W96" s="20">
        <f>IFERROR(IF(R96="",W95,IF(R96="ATTENTION",W95-S96,IF(S96&gt;R96,W95-T96,W95+T96))),"")</f>
        <v>25569.1875</v>
      </c>
    </row>
    <row x14ac:dyDescent="0.25" r="97" customHeight="1" ht="17.25">
      <c r="A97" s="21"/>
      <c r="B97" s="24"/>
      <c r="C97" s="35"/>
      <c r="D97" s="35"/>
      <c r="E97" s="37"/>
      <c r="F97" s="37"/>
      <c r="G97" s="21"/>
      <c r="H97" s="21"/>
      <c r="I97" s="21"/>
      <c r="J97" s="43">
        <f>IFERROR(DATE((LEFT(B97,4)),MID(B97,5,2),RIGHT(B97,2)),"")</f>
        <v>25569.1875</v>
      </c>
      <c r="K97" s="21"/>
      <c r="L97" s="49">
        <f>IF(A97="Total Hours","",IF(J97="",L96,J97))</f>
        <v>25569.1875</v>
      </c>
      <c r="M97" s="50">
        <f>A97</f>
      </c>
      <c r="N97" s="17">
        <f>IF(C97="",IF(U97="",C97,""),C97)</f>
        <v>25569.1875</v>
      </c>
      <c r="O97" s="17">
        <f>IF(D97="",IF(U97="",D97,""),D97)</f>
        <v>25569.1875</v>
      </c>
      <c r="P97" s="17">
        <f>IFERROR(IF(N97&gt;O97,G97,O97-N97),"")</f>
        <v>25569.1875</v>
      </c>
      <c r="Q97" s="17">
        <f>IF(U97="",TIME(0,30,0),"")</f>
        <v>25569.1875</v>
      </c>
      <c r="R97" s="17">
        <f>IFERROR(IF(OR(IFERROR((P97-Q97)&lt;0,""),P97="Missing OUT"),"ATTENTION",P97-Q97),"")</f>
        <v>25569.1875</v>
      </c>
      <c r="S97" s="17">
        <f>TIME(8,0,0)</f>
        <v>25569.1875</v>
      </c>
      <c r="T97" s="17">
        <f>IFERROR(IF(R97="ATTENTION",TIME(8,0,0),IF(S97&gt;R97,S97-R97,R97-S97)),"")</f>
        <v>25569.1875</v>
      </c>
      <c r="U97" s="18">
        <f>IFERROR(VLOOKUP(L97,Calendar!$A$2:$C$261,3,0),"")</f>
      </c>
      <c r="V97" s="19">
        <f>IF(AND(LEN(C97)&gt;0,LEN(D97)=0),"NO CHECK-OUT","")</f>
      </c>
      <c r="W97" s="20">
        <f>IFERROR(IF(R97="",W96,IF(R97="ATTENTION",W96-S97,IF(S97&gt;R97,W96-T97,W96+T97))),"")</f>
        <v>25569.1875</v>
      </c>
    </row>
    <row x14ac:dyDescent="0.25" r="98" customHeight="1" ht="17.25">
      <c r="A98" s="21"/>
      <c r="B98" s="24"/>
      <c r="C98" s="35"/>
      <c r="D98" s="35"/>
      <c r="E98" s="37"/>
      <c r="F98" s="37"/>
      <c r="G98" s="21"/>
      <c r="H98" s="21"/>
      <c r="I98" s="21"/>
      <c r="J98" s="43">
        <f>IFERROR(DATE((LEFT(B98,4)),MID(B98,5,2),RIGHT(B98,2)),"")</f>
        <v>25569.1875</v>
      </c>
      <c r="K98" s="21"/>
      <c r="L98" s="49">
        <f>IF(A98="Total Hours","",IF(J98="",L97,J98))</f>
        <v>25569.1875</v>
      </c>
      <c r="M98" s="50">
        <f>A98</f>
      </c>
      <c r="N98" s="17">
        <f>IF(C98="",IF(U98="",C98,""),C98)</f>
        <v>25569.1875</v>
      </c>
      <c r="O98" s="17">
        <f>IF(D98="",IF(U98="",D98,""),D98)</f>
        <v>25569.1875</v>
      </c>
      <c r="P98" s="17">
        <f>IFERROR(IF(N98&gt;O98,G98,O98-N98),"")</f>
        <v>25569.1875</v>
      </c>
      <c r="Q98" s="17">
        <f>IF(U98="",TIME(0,30,0),"")</f>
        <v>25569.1875</v>
      </c>
      <c r="R98" s="17">
        <f>IFERROR(IF(OR(IFERROR((P98-Q98)&lt;0,""),P98="Missing OUT"),"ATTENTION",P98-Q98),"")</f>
        <v>25569.1875</v>
      </c>
      <c r="S98" s="17">
        <f>TIME(8,0,0)</f>
        <v>25569.1875</v>
      </c>
      <c r="T98" s="17">
        <f>IFERROR(IF(R98="ATTENTION",TIME(8,0,0),IF(S98&gt;R98,S98-R98,R98-S98)),"")</f>
        <v>25569.1875</v>
      </c>
      <c r="U98" s="18">
        <f>IFERROR(VLOOKUP(L98,Calendar!$A$2:$C$261,3,0),"")</f>
      </c>
      <c r="V98" s="19">
        <f>IF(AND(LEN(C98)&gt;0,LEN(D98)=0),"NO CHECK-OUT","")</f>
      </c>
      <c r="W98" s="20">
        <f>IFERROR(IF(R98="",W97,IF(R98="ATTENTION",W97-S98,IF(S98&gt;R98,W97-T98,W97+T98))),"")</f>
        <v>25569.1875</v>
      </c>
    </row>
    <row x14ac:dyDescent="0.25" r="99" customHeight="1" ht="17.25">
      <c r="A99" s="21"/>
      <c r="B99" s="24"/>
      <c r="C99" s="35"/>
      <c r="D99" s="35"/>
      <c r="E99" s="37"/>
      <c r="F99" s="37"/>
      <c r="G99" s="21"/>
      <c r="H99" s="21"/>
      <c r="I99" s="21"/>
      <c r="J99" s="43">
        <f>IFERROR(DATE((LEFT(B99,4)),MID(B99,5,2),RIGHT(B99,2)),"")</f>
        <v>25569.1875</v>
      </c>
      <c r="K99" s="21"/>
      <c r="L99" s="49">
        <f>IF(A99="Total Hours","",IF(J99="",L98,J99))</f>
        <v>25569.1875</v>
      </c>
      <c r="M99" s="50">
        <f>A99</f>
      </c>
      <c r="N99" s="17">
        <f>IF(C99="",IF(U99="",C99,""),C99)</f>
        <v>25569.1875</v>
      </c>
      <c r="O99" s="17">
        <f>IF(D99="",IF(U99="",D99,""),D99)</f>
        <v>25569.1875</v>
      </c>
      <c r="P99" s="17">
        <f>IFERROR(IF(N99&gt;O99,G99,O99-N99),"")</f>
        <v>25569.1875</v>
      </c>
      <c r="Q99" s="17">
        <f>IF(U99="",TIME(0,30,0),"")</f>
        <v>25569.1875</v>
      </c>
      <c r="R99" s="17">
        <f>IFERROR(IF(OR(IFERROR((P99-Q99)&lt;0,""),P99="Missing OUT"),"ATTENTION",P99-Q99),"")</f>
        <v>25569.1875</v>
      </c>
      <c r="S99" s="17">
        <f>TIME(8,0,0)</f>
        <v>25569.1875</v>
      </c>
      <c r="T99" s="17">
        <f>IFERROR(IF(R99="ATTENTION",TIME(8,0,0),IF(S99&gt;R99,S99-R99,R99-S99)),"")</f>
        <v>25569.1875</v>
      </c>
      <c r="U99" s="18">
        <f>IFERROR(VLOOKUP(L99,Calendar!$A$2:$C$261,3,0),"")</f>
      </c>
      <c r="V99" s="19">
        <f>IF(AND(LEN(C99)&gt;0,LEN(D99)=0),"NO CHECK-OUT","")</f>
      </c>
      <c r="W99" s="20">
        <f>IFERROR(IF(R99="",W98,IF(R99="ATTENTION",W98-S99,IF(S99&gt;R99,W98-T99,W98+T99))),"")</f>
        <v>25569.1875</v>
      </c>
    </row>
    <row x14ac:dyDescent="0.25" r="100" customHeight="1" ht="17.25">
      <c r="A100" s="21"/>
      <c r="B100" s="24"/>
      <c r="C100" s="35"/>
      <c r="D100" s="35"/>
      <c r="E100" s="37"/>
      <c r="F100" s="37"/>
      <c r="G100" s="21"/>
      <c r="H100" s="21"/>
      <c r="I100" s="21"/>
      <c r="J100" s="43">
        <f>IFERROR(DATE((LEFT(B100,4)),MID(B100,5,2),RIGHT(B100,2)),"")</f>
        <v>25569.1875</v>
      </c>
      <c r="K100" s="21"/>
      <c r="L100" s="49">
        <f>IF(A100="Total Hours","",IF(J100="",L99,J100))</f>
        <v>25569.1875</v>
      </c>
      <c r="M100" s="50">
        <f>A100</f>
      </c>
      <c r="N100" s="17">
        <f>IF(C100="",IF(U100="",C100,""),C100)</f>
        <v>25569.1875</v>
      </c>
      <c r="O100" s="17">
        <f>IF(D100="",IF(U100="",D100,""),D100)</f>
        <v>25569.1875</v>
      </c>
      <c r="P100" s="17">
        <f>IFERROR(IF(N100&gt;O100,G100,O100-N100),"")</f>
        <v>25569.1875</v>
      </c>
      <c r="Q100" s="17">
        <f>IF(U100="",TIME(0,30,0),"")</f>
        <v>25569.1875</v>
      </c>
      <c r="R100" s="17">
        <f>IFERROR(IF(OR(IFERROR((P100-Q100)&lt;0,""),P100="Missing OUT"),"ATTENTION",P100-Q100),"")</f>
        <v>25569.1875</v>
      </c>
      <c r="S100" s="17">
        <f>TIME(8,0,0)</f>
        <v>25569.1875</v>
      </c>
      <c r="T100" s="17">
        <f>IFERROR(IF(R100="ATTENTION",TIME(8,0,0),IF(S100&gt;R100,S100-R100,R100-S100)),"")</f>
        <v>25569.1875</v>
      </c>
      <c r="U100" s="18">
        <f>IFERROR(VLOOKUP(L100,Calendar!$A$2:$C$261,3,0),"")</f>
      </c>
      <c r="V100" s="19">
        <f>IF(AND(LEN(C100)&gt;0,LEN(D100)=0),"NO CHECK-OUT","")</f>
      </c>
      <c r="W100" s="20">
        <f>IFERROR(IF(R100="",W99,IF(R100="ATTENTION",W99-S100,IF(S100&gt;R100,W99-T100,W99+T100))),"")</f>
        <v>25569.1875</v>
      </c>
    </row>
    <row x14ac:dyDescent="0.25" r="101" customHeight="1" ht="17.25">
      <c r="A101" s="21"/>
      <c r="B101" s="24"/>
      <c r="C101" s="35"/>
      <c r="D101" s="35"/>
      <c r="E101" s="37"/>
      <c r="F101" s="37"/>
      <c r="G101" s="21"/>
      <c r="H101" s="21"/>
      <c r="I101" s="21"/>
      <c r="J101" s="43">
        <f>IFERROR(DATE((LEFT(B101,4)),MID(B101,5,2),RIGHT(B101,2)),"")</f>
        <v>25569.1875</v>
      </c>
      <c r="K101" s="21"/>
      <c r="L101" s="49">
        <f>IF(A101="Total Hours","",IF(J101="",L100,J101))</f>
        <v>25569.1875</v>
      </c>
      <c r="M101" s="50">
        <f>A101</f>
      </c>
      <c r="N101" s="17">
        <f>IF(C101="",IF(U101="",C101,""),C101)</f>
        <v>25569.1875</v>
      </c>
      <c r="O101" s="17">
        <f>IF(D101="",IF(U101="",D101,""),D101)</f>
        <v>25569.1875</v>
      </c>
      <c r="P101" s="17">
        <f>IFERROR(IF(N101&gt;O101,G101,O101-N101),"")</f>
        <v>25569.1875</v>
      </c>
      <c r="Q101" s="17">
        <f>IF(U101="",TIME(0,30,0),"")</f>
        <v>25569.1875</v>
      </c>
      <c r="R101" s="17">
        <f>IFERROR(IF(OR(IFERROR((P101-Q101)&lt;0,""),P101="Missing OUT"),"ATTENTION",P101-Q101),"")</f>
        <v>25569.1875</v>
      </c>
      <c r="S101" s="17">
        <f>TIME(8,0,0)</f>
        <v>25569.1875</v>
      </c>
      <c r="T101" s="17">
        <f>IFERROR(IF(R101="ATTENTION",TIME(8,0,0),IF(S101&gt;R101,S101-R101,R101-S101)),"")</f>
        <v>25569.1875</v>
      </c>
      <c r="U101" s="18">
        <f>IFERROR(VLOOKUP(L101,Calendar!$A$2:$C$261,3,0),"")</f>
      </c>
      <c r="V101" s="19">
        <f>IF(AND(LEN(C101)&gt;0,LEN(D101)=0),"NO CHECK-OUT","")</f>
      </c>
      <c r="W101" s="20">
        <f>IFERROR(IF(R101="",W100,IF(R101="ATTENTION",W100-S101,IF(S101&gt;R101,W100-T101,W100+T101))),"")</f>
        <v>25569.1875</v>
      </c>
    </row>
    <row x14ac:dyDescent="0.25" r="102" customHeight="1" ht="17.25">
      <c r="A102" s="21"/>
      <c r="B102" s="24"/>
      <c r="C102" s="35"/>
      <c r="D102" s="35"/>
      <c r="E102" s="37"/>
      <c r="F102" s="37"/>
      <c r="G102" s="21"/>
      <c r="H102" s="21"/>
      <c r="I102" s="21"/>
      <c r="J102" s="43">
        <f>IFERROR(DATE((LEFT(B102,4)),MID(B102,5,2),RIGHT(B102,2)),"")</f>
        <v>25569.1875</v>
      </c>
      <c r="K102" s="21"/>
      <c r="L102" s="49">
        <f>IF(A102="Total Hours","",IF(J102="",L101,J102))</f>
        <v>25569.1875</v>
      </c>
      <c r="M102" s="50">
        <f>A102</f>
      </c>
      <c r="N102" s="17">
        <f>IF(C102="",IF(U102="",C102,""),C102)</f>
        <v>25569.1875</v>
      </c>
      <c r="O102" s="17">
        <f>IF(D102="",IF(U102="",D102,""),D102)</f>
        <v>25569.1875</v>
      </c>
      <c r="P102" s="17">
        <f>IFERROR(IF(N102&gt;O102,G102,O102-N102),"")</f>
        <v>25569.1875</v>
      </c>
      <c r="Q102" s="17">
        <f>IF(U102="",TIME(0,30,0),"")</f>
        <v>25569.1875</v>
      </c>
      <c r="R102" s="17">
        <f>IFERROR(IF(OR(IFERROR((P102-Q102)&lt;0,""),P102="Missing OUT"),"ATTENTION",P102-Q102),"")</f>
        <v>25569.1875</v>
      </c>
      <c r="S102" s="17">
        <f>TIME(8,0,0)</f>
        <v>25569.1875</v>
      </c>
      <c r="T102" s="17">
        <f>IFERROR(IF(R102="ATTENTION",TIME(8,0,0),IF(S102&gt;R102,S102-R102,R102-S102)),"")</f>
        <v>25569.1875</v>
      </c>
      <c r="U102" s="18">
        <f>IFERROR(VLOOKUP(L102,Calendar!$A$2:$C$261,3,0),"")</f>
      </c>
      <c r="V102" s="19">
        <f>IF(AND(LEN(C102)&gt;0,LEN(D102)=0),"NO CHECK-OUT","")</f>
      </c>
      <c r="W102" s="20">
        <f>IFERROR(IF(R102="",W101,IF(R102="ATTENTION",W101-S102,IF(S102&gt;R102,W101-T102,W101+T102))),"")</f>
        <v>25569.1875</v>
      </c>
    </row>
    <row x14ac:dyDescent="0.25" r="103" customHeight="1" ht="17.25">
      <c r="A103" s="21"/>
      <c r="B103" s="24"/>
      <c r="C103" s="35"/>
      <c r="D103" s="35"/>
      <c r="E103" s="37"/>
      <c r="F103" s="37"/>
      <c r="G103" s="21"/>
      <c r="H103" s="21"/>
      <c r="I103" s="21"/>
      <c r="J103" s="43">
        <f>IFERROR(DATE((LEFT(B103,4)),MID(B103,5,2),RIGHT(B103,2)),"")</f>
        <v>25569.1875</v>
      </c>
      <c r="K103" s="21"/>
      <c r="L103" s="49">
        <f>IF(A103="Total Hours","",IF(J103="",L102,J103))</f>
        <v>25569.1875</v>
      </c>
      <c r="M103" s="50">
        <f>A103</f>
      </c>
      <c r="N103" s="17">
        <f>IF(C103="",IF(U103="",C103,""),C103)</f>
        <v>25569.1875</v>
      </c>
      <c r="O103" s="17">
        <f>IF(D103="",IF(U103="",D103,""),D103)</f>
        <v>25569.1875</v>
      </c>
      <c r="P103" s="17">
        <f>IFERROR(IF(N103&gt;O103,G103,O103-N103),"")</f>
        <v>25569.1875</v>
      </c>
      <c r="Q103" s="17">
        <f>IF(U103="",TIME(0,30,0),"")</f>
        <v>25569.1875</v>
      </c>
      <c r="R103" s="17">
        <f>IFERROR(IF(OR(IFERROR((P103-Q103)&lt;0,""),P103="Missing OUT"),"ATTENTION",P103-Q103),"")</f>
        <v>25569.1875</v>
      </c>
      <c r="S103" s="17">
        <f>TIME(8,0,0)</f>
        <v>25569.1875</v>
      </c>
      <c r="T103" s="17">
        <f>IFERROR(IF(R103="ATTENTION",TIME(8,0,0),IF(S103&gt;R103,S103-R103,R103-S103)),"")</f>
        <v>25569.1875</v>
      </c>
      <c r="U103" s="18">
        <f>IFERROR(VLOOKUP(L103,Calendar!$A$2:$C$261,3,0),"")</f>
      </c>
      <c r="V103" s="19">
        <f>IF(AND(LEN(C103)&gt;0,LEN(D103)=0),"NO CHECK-OUT","")</f>
      </c>
      <c r="W103" s="20">
        <f>IFERROR(IF(R103="",W102,IF(R103="ATTENTION",W102-S103,IF(S103&gt;R103,W102-T103,W102+T103))),"")</f>
        <v>25569.1875</v>
      </c>
    </row>
    <row x14ac:dyDescent="0.25" r="104" customHeight="1" ht="17.25">
      <c r="A104" s="21"/>
      <c r="B104" s="24"/>
      <c r="C104" s="35"/>
      <c r="D104" s="35"/>
      <c r="E104" s="37"/>
      <c r="F104" s="37"/>
      <c r="G104" s="21"/>
      <c r="H104" s="21"/>
      <c r="I104" s="21"/>
      <c r="J104" s="43">
        <f>IFERROR(DATE((LEFT(B104,4)),MID(B104,5,2),RIGHT(B104,2)),"")</f>
        <v>25569.1875</v>
      </c>
      <c r="K104" s="21"/>
      <c r="L104" s="49">
        <f>IF(A104="Total Hours","",IF(J104="",L103,J104))</f>
        <v>25569.1875</v>
      </c>
      <c r="M104" s="50">
        <f>A104</f>
      </c>
      <c r="N104" s="17">
        <f>IF(C104="",IF(U104="",C104,""),C104)</f>
        <v>25569.1875</v>
      </c>
      <c r="O104" s="17">
        <f>IF(D104="",IF(U104="",D104,""),D104)</f>
        <v>25569.1875</v>
      </c>
      <c r="P104" s="17">
        <f>IFERROR(IF(N104&gt;O104,G104,O104-N104),"")</f>
        <v>25569.1875</v>
      </c>
      <c r="Q104" s="17">
        <f>IF(U104="",TIME(0,30,0),"")</f>
        <v>25569.1875</v>
      </c>
      <c r="R104" s="17">
        <f>IFERROR(IF(OR(IFERROR((P104-Q104)&lt;0,""),P104="Missing OUT"),"ATTENTION",P104-Q104),"")</f>
        <v>25569.1875</v>
      </c>
      <c r="S104" s="17">
        <f>TIME(8,0,0)</f>
        <v>25569.1875</v>
      </c>
      <c r="T104" s="17">
        <f>IFERROR(IF(R104="ATTENTION",TIME(8,0,0),IF(S104&gt;R104,S104-R104,R104-S104)),"")</f>
        <v>25569.1875</v>
      </c>
      <c r="U104" s="18">
        <f>IFERROR(VLOOKUP(L104,Calendar!$A$2:$C$261,3,0),"")</f>
      </c>
      <c r="V104" s="19">
        <f>IF(AND(LEN(C104)&gt;0,LEN(D104)=0),"NO CHECK-OUT","")</f>
      </c>
      <c r="W104" s="20">
        <f>IFERROR(IF(R104="",W103,IF(R104="ATTENTION",W103-S104,IF(S104&gt;R104,W103-T104,W103+T104))),"")</f>
        <v>25569.1875</v>
      </c>
    </row>
    <row x14ac:dyDescent="0.25" r="105" customHeight="1" ht="17.25">
      <c r="A105" s="21"/>
      <c r="B105" s="24"/>
      <c r="C105" s="35"/>
      <c r="D105" s="35"/>
      <c r="E105" s="37"/>
      <c r="F105" s="37"/>
      <c r="G105" s="21"/>
      <c r="H105" s="21"/>
      <c r="I105" s="21"/>
      <c r="J105" s="43">
        <f>IFERROR(DATE((LEFT(B105,4)),MID(B105,5,2),RIGHT(B105,2)),"")</f>
        <v>25569.1875</v>
      </c>
      <c r="K105" s="21"/>
      <c r="L105" s="49">
        <f>IF(A105="Total Hours","",IF(J105="",L104,J105))</f>
        <v>25569.1875</v>
      </c>
      <c r="M105" s="50">
        <f>A105</f>
      </c>
      <c r="N105" s="17">
        <f>IF(C105="",IF(U105="",C105,""),C105)</f>
        <v>25569.1875</v>
      </c>
      <c r="O105" s="17">
        <f>IF(D105="",IF(U105="",D105,""),D105)</f>
        <v>25569.1875</v>
      </c>
      <c r="P105" s="17">
        <f>IFERROR(IF(N105&gt;O105,G105,O105-N105),"")</f>
        <v>25569.1875</v>
      </c>
      <c r="Q105" s="17">
        <f>IF(U105="",TIME(0,30,0),"")</f>
        <v>25569.1875</v>
      </c>
      <c r="R105" s="17">
        <f>IFERROR(IF(OR(IFERROR((P105-Q105)&lt;0,""),P105="Missing OUT"),"ATTENTION",P105-Q105),"")</f>
        <v>25569.1875</v>
      </c>
      <c r="S105" s="17">
        <f>TIME(8,0,0)</f>
        <v>25569.1875</v>
      </c>
      <c r="T105" s="17">
        <f>IFERROR(IF(R105="ATTENTION",TIME(8,0,0),IF(S105&gt;R105,S105-R105,R105-S105)),"")</f>
        <v>25569.1875</v>
      </c>
      <c r="U105" s="18">
        <f>IFERROR(VLOOKUP(L105,Calendar!$A$2:$C$261,3,0),"")</f>
      </c>
      <c r="V105" s="19">
        <f>IF(AND(LEN(C105)&gt;0,LEN(D105)=0),"NO CHECK-OUT","")</f>
      </c>
      <c r="W105" s="20">
        <f>IFERROR(IF(R105="",W104,IF(R105="ATTENTION",W104-S105,IF(S105&gt;R105,W104-T105,W104+T105))),"")</f>
        <v>25569.1875</v>
      </c>
    </row>
    <row x14ac:dyDescent="0.25" r="106" customHeight="1" ht="17.25">
      <c r="A106" s="21"/>
      <c r="B106" s="24"/>
      <c r="C106" s="35"/>
      <c r="D106" s="35"/>
      <c r="E106" s="37"/>
      <c r="F106" s="37"/>
      <c r="G106" s="21"/>
      <c r="H106" s="21"/>
      <c r="I106" s="21"/>
      <c r="J106" s="43">
        <f>IFERROR(DATE((LEFT(B106,4)),MID(B106,5,2),RIGHT(B106,2)),"")</f>
        <v>25569.1875</v>
      </c>
      <c r="K106" s="21"/>
      <c r="L106" s="49">
        <f>IF(A106="Total Hours","",IF(J106="",L105,J106))</f>
        <v>25569.1875</v>
      </c>
      <c r="M106" s="50">
        <f>A106</f>
      </c>
      <c r="N106" s="17">
        <f>IF(C106="",IF(U106="",C106,""),C106)</f>
        <v>25569.1875</v>
      </c>
      <c r="O106" s="17">
        <f>IF(D106="",IF(U106="",D106,""),D106)</f>
        <v>25569.1875</v>
      </c>
      <c r="P106" s="17">
        <f>IFERROR(IF(N106&gt;O106,G106,O106-N106),"")</f>
        <v>25569.1875</v>
      </c>
      <c r="Q106" s="17">
        <f>IF(U106="",TIME(0,30,0),"")</f>
        <v>25569.1875</v>
      </c>
      <c r="R106" s="17">
        <f>IFERROR(IF(OR(IFERROR((P106-Q106)&lt;0,""),P106="Missing OUT"),"ATTENTION",P106-Q106),"")</f>
        <v>25569.1875</v>
      </c>
      <c r="S106" s="17">
        <f>TIME(8,0,0)</f>
        <v>25569.1875</v>
      </c>
      <c r="T106" s="17">
        <f>IFERROR(IF(R106="ATTENTION",TIME(8,0,0),IF(S106&gt;R106,S106-R106,R106-S106)),"")</f>
        <v>25569.1875</v>
      </c>
      <c r="U106" s="18">
        <f>IFERROR(VLOOKUP(L106,Calendar!$A$2:$C$261,3,0),"")</f>
      </c>
      <c r="V106" s="19">
        <f>IF(AND(LEN(C106)&gt;0,LEN(D106)=0),"NO CHECK-OUT","")</f>
      </c>
      <c r="W106" s="20">
        <f>IFERROR(IF(R106="",W105,IF(R106="ATTENTION",W105-S106,IF(S106&gt;R106,W105-T106,W105+T106))),"")</f>
        <v>25569.1875</v>
      </c>
    </row>
    <row x14ac:dyDescent="0.25" r="107" customHeight="1" ht="17.25">
      <c r="A107" s="21"/>
      <c r="B107" s="24"/>
      <c r="C107" s="35"/>
      <c r="D107" s="35"/>
      <c r="E107" s="37"/>
      <c r="F107" s="37"/>
      <c r="G107" s="21"/>
      <c r="H107" s="21"/>
      <c r="I107" s="21"/>
      <c r="J107" s="43">
        <f>IFERROR(DATE((LEFT(B107,4)),MID(B107,5,2),RIGHT(B107,2)),"")</f>
        <v>25569.1875</v>
      </c>
      <c r="K107" s="21"/>
      <c r="L107" s="49">
        <f>IF(A107="Total Hours","",IF(J107="",L106,J107))</f>
        <v>25569.1875</v>
      </c>
      <c r="M107" s="50">
        <f>A107</f>
      </c>
      <c r="N107" s="17">
        <f>IF(C107="",IF(U107="",C107,""),C107)</f>
        <v>25569.1875</v>
      </c>
      <c r="O107" s="17">
        <f>IF(D107="",IF(U107="",D107,""),D107)</f>
        <v>25569.1875</v>
      </c>
      <c r="P107" s="17">
        <f>IFERROR(IF(N107&gt;O107,G107,O107-N107),"")</f>
        <v>25569.1875</v>
      </c>
      <c r="Q107" s="17">
        <f>IF(U107="",TIME(0,30,0),"")</f>
        <v>25569.1875</v>
      </c>
      <c r="R107" s="17">
        <f>IFERROR(IF(OR(IFERROR((P107-Q107)&lt;0,""),P107="Missing OUT"),"ATTENTION",P107-Q107),"")</f>
        <v>25569.1875</v>
      </c>
      <c r="S107" s="17">
        <f>TIME(8,0,0)</f>
        <v>25569.1875</v>
      </c>
      <c r="T107" s="17">
        <f>IFERROR(IF(R107="ATTENTION",TIME(8,0,0),IF(S107&gt;R107,S107-R107,R107-S107)),"")</f>
        <v>25569.1875</v>
      </c>
      <c r="U107" s="18">
        <f>IFERROR(VLOOKUP(L107,Calendar!$A$2:$C$261,3,0),"")</f>
      </c>
      <c r="V107" s="19">
        <f>IF(AND(LEN(C107)&gt;0,LEN(D107)=0),"NO CHECK-OUT","")</f>
      </c>
      <c r="W107" s="20">
        <f>IFERROR(IF(R107="",W106,IF(R107="ATTENTION",W106-S107,IF(S107&gt;R107,W106-T107,W106+T107))),"")</f>
        <v>25569.1875</v>
      </c>
    </row>
    <row x14ac:dyDescent="0.25" r="108" customHeight="1" ht="17.25">
      <c r="A108" s="21"/>
      <c r="B108" s="24"/>
      <c r="C108" s="35"/>
      <c r="D108" s="35"/>
      <c r="E108" s="37"/>
      <c r="F108" s="37"/>
      <c r="G108" s="21"/>
      <c r="H108" s="21"/>
      <c r="I108" s="21"/>
      <c r="J108" s="43">
        <f>IFERROR(DATE((LEFT(B108,4)),MID(B108,5,2),RIGHT(B108,2)),"")</f>
        <v>25569.1875</v>
      </c>
      <c r="K108" s="21"/>
      <c r="L108" s="49">
        <f>IF(A108="Total Hours","",IF(J108="",L107,J108))</f>
        <v>25569.1875</v>
      </c>
      <c r="M108" s="50">
        <f>A108</f>
      </c>
      <c r="N108" s="17">
        <f>IF(C108="",IF(U108="",C108,""),C108)</f>
        <v>25569.1875</v>
      </c>
      <c r="O108" s="17">
        <f>IF(D108="",IF(U108="",D108,""),D108)</f>
        <v>25569.1875</v>
      </c>
      <c r="P108" s="17">
        <f>IFERROR(IF(N108&gt;O108,G108,O108-N108),"")</f>
        <v>25569.1875</v>
      </c>
      <c r="Q108" s="17">
        <f>IF(U108="",TIME(0,30,0),"")</f>
        <v>25569.1875</v>
      </c>
      <c r="R108" s="17">
        <f>IFERROR(IF(OR(IFERROR((P108-Q108)&lt;0,""),P108="Missing OUT"),"ATTENTION",P108-Q108),"")</f>
        <v>25569.1875</v>
      </c>
      <c r="S108" s="17">
        <f>TIME(8,0,0)</f>
        <v>25569.1875</v>
      </c>
      <c r="T108" s="17">
        <f>IFERROR(IF(R108="ATTENTION",TIME(8,0,0),IF(S108&gt;R108,S108-R108,R108-S108)),"")</f>
        <v>25569.1875</v>
      </c>
      <c r="U108" s="18">
        <f>IFERROR(VLOOKUP(L108,Calendar!$A$2:$C$261,3,0),"")</f>
      </c>
      <c r="V108" s="19">
        <f>IF(AND(LEN(C108)&gt;0,LEN(D108)=0),"NO CHECK-OUT","")</f>
      </c>
      <c r="W108" s="20">
        <f>IFERROR(IF(R108="",W107,IF(R108="ATTENTION",W107-S108,IF(S108&gt;R108,W107-T108,W107+T108))),"")</f>
        <v>25569.1875</v>
      </c>
    </row>
    <row x14ac:dyDescent="0.25" r="109" customHeight="1" ht="17.25">
      <c r="A109" s="21"/>
      <c r="B109" s="24"/>
      <c r="C109" s="35"/>
      <c r="D109" s="35"/>
      <c r="E109" s="37"/>
      <c r="F109" s="37"/>
      <c r="G109" s="21"/>
      <c r="H109" s="21"/>
      <c r="I109" s="21"/>
      <c r="J109" s="43">
        <f>IFERROR(DATE((LEFT(B109,4)),MID(B109,5,2),RIGHT(B109,2)),"")</f>
        <v>25569.1875</v>
      </c>
      <c r="K109" s="21"/>
      <c r="L109" s="49">
        <f>IF(A109="Total Hours","",IF(J109="",L108,J109))</f>
        <v>25569.1875</v>
      </c>
      <c r="M109" s="50">
        <f>A109</f>
      </c>
      <c r="N109" s="17">
        <f>IF(C109="",IF(U109="",C109,""),C109)</f>
        <v>25569.1875</v>
      </c>
      <c r="O109" s="17">
        <f>IF(D109="",IF(U109="",D109,""),D109)</f>
        <v>25569.1875</v>
      </c>
      <c r="P109" s="17">
        <f>IFERROR(IF(N109&gt;O109,G109,O109-N109),"")</f>
        <v>25569.1875</v>
      </c>
      <c r="Q109" s="17">
        <f>IF(U109="",TIME(0,30,0),"")</f>
        <v>25569.1875</v>
      </c>
      <c r="R109" s="17">
        <f>IFERROR(IF(OR(IFERROR((P109-Q109)&lt;0,""),P109="Missing OUT"),"ATTENTION",P109-Q109),"")</f>
        <v>25569.1875</v>
      </c>
      <c r="S109" s="17">
        <f>TIME(8,0,0)</f>
        <v>25569.1875</v>
      </c>
      <c r="T109" s="17">
        <f>IFERROR(IF(R109="ATTENTION",TIME(8,0,0),IF(S109&gt;R109,S109-R109,R109-S109)),"")</f>
        <v>25569.1875</v>
      </c>
      <c r="U109" s="18">
        <f>IFERROR(VLOOKUP(L109,Calendar!$A$2:$C$261,3,0),"")</f>
      </c>
      <c r="V109" s="19">
        <f>IF(AND(LEN(C109)&gt;0,LEN(D109)=0),"NO CHECK-OUT","")</f>
      </c>
      <c r="W109" s="20">
        <f>IFERROR(IF(R109="",W108,IF(R109="ATTENTION",W108-S109,IF(S109&gt;R109,W108-T109,W108+T109))),"")</f>
        <v>25569.1875</v>
      </c>
    </row>
    <row x14ac:dyDescent="0.25" r="110" customHeight="1" ht="17.25">
      <c r="A110" s="21"/>
      <c r="B110" s="24"/>
      <c r="C110" s="35"/>
      <c r="D110" s="35"/>
      <c r="E110" s="37"/>
      <c r="F110" s="37"/>
      <c r="G110" s="21"/>
      <c r="H110" s="21"/>
      <c r="I110" s="21"/>
      <c r="J110" s="43">
        <f>IFERROR(DATE((LEFT(B110,4)),MID(B110,5,2),RIGHT(B110,2)),"")</f>
        <v>25569.1875</v>
      </c>
      <c r="K110" s="21"/>
      <c r="L110" s="49">
        <f>IF(A110="Total Hours","",IF(J110="",L109,J110))</f>
        <v>25569.1875</v>
      </c>
      <c r="M110" s="50">
        <f>A110</f>
      </c>
      <c r="N110" s="17">
        <f>IF(C110="",IF(U110="",C110,""),C110)</f>
        <v>25569.1875</v>
      </c>
      <c r="O110" s="17">
        <f>IF(D110="",IF(U110="",D110,""),D110)</f>
        <v>25569.1875</v>
      </c>
      <c r="P110" s="17">
        <f>IFERROR(IF(N110&gt;O110,G110,O110-N110),"")</f>
        <v>25569.1875</v>
      </c>
      <c r="Q110" s="17">
        <f>IF(U110="",TIME(0,30,0),"")</f>
        <v>25569.1875</v>
      </c>
      <c r="R110" s="17">
        <f>IFERROR(IF(OR(IFERROR((P110-Q110)&lt;0,""),P110="Missing OUT"),"ATTENTION",P110-Q110),"")</f>
        <v>25569.1875</v>
      </c>
      <c r="S110" s="17">
        <f>TIME(8,0,0)</f>
        <v>25569.1875</v>
      </c>
      <c r="T110" s="17">
        <f>IFERROR(IF(R110="ATTENTION",TIME(8,0,0),IF(S110&gt;R110,S110-R110,R110-S110)),"")</f>
        <v>25569.1875</v>
      </c>
      <c r="U110" s="18">
        <f>IFERROR(VLOOKUP(L110,Calendar!$A$2:$C$261,3,0),"")</f>
      </c>
      <c r="V110" s="19">
        <f>IF(AND(LEN(C110)&gt;0,LEN(D110)=0),"NO CHECK-OUT","")</f>
      </c>
      <c r="W110" s="20">
        <f>IFERROR(IF(R110="",W109,IF(R110="ATTENTION",W109-S110,IF(S110&gt;R110,W109-T110,W109+T110))),"")</f>
        <v>25569.1875</v>
      </c>
    </row>
    <row x14ac:dyDescent="0.25" r="111" customHeight="1" ht="17.25">
      <c r="A111" s="21"/>
      <c r="B111" s="24"/>
      <c r="C111" s="35"/>
      <c r="D111" s="35"/>
      <c r="E111" s="37"/>
      <c r="F111" s="37"/>
      <c r="G111" s="21"/>
      <c r="H111" s="21"/>
      <c r="I111" s="21"/>
      <c r="J111" s="43">
        <f>IFERROR(DATE((LEFT(B111,4)),MID(B111,5,2),RIGHT(B111,2)),"")</f>
        <v>25569.1875</v>
      </c>
      <c r="K111" s="21"/>
      <c r="L111" s="49">
        <f>IF(A111="Total Hours","",IF(J111="",L110,J111))</f>
        <v>25569.1875</v>
      </c>
      <c r="M111" s="50">
        <f>A111</f>
      </c>
      <c r="N111" s="17">
        <f>IF(C111="",IF(U111="",C111,""),C111)</f>
        <v>25569.1875</v>
      </c>
      <c r="O111" s="17">
        <f>IF(D111="",IF(U111="",D111,""),D111)</f>
        <v>25569.1875</v>
      </c>
      <c r="P111" s="17">
        <f>IFERROR(IF(N111&gt;O111,G111,O111-N111),"")</f>
        <v>25569.1875</v>
      </c>
      <c r="Q111" s="17">
        <f>IF(U111="",TIME(0,30,0),"")</f>
        <v>25569.1875</v>
      </c>
      <c r="R111" s="17">
        <f>IFERROR(IF(OR(IFERROR((P111-Q111)&lt;0,""),P111="Missing OUT"),"ATTENTION",P111-Q111),"")</f>
        <v>25569.1875</v>
      </c>
      <c r="S111" s="17">
        <f>TIME(8,0,0)</f>
        <v>25569.1875</v>
      </c>
      <c r="T111" s="17">
        <f>IFERROR(IF(R111="ATTENTION",TIME(8,0,0),IF(S111&gt;R111,S111-R111,R111-S111)),"")</f>
        <v>25569.1875</v>
      </c>
      <c r="U111" s="18">
        <f>IFERROR(VLOOKUP(L111,Calendar!$A$2:$C$261,3,0),"")</f>
      </c>
      <c r="V111" s="19">
        <f>IF(AND(LEN(C111)&gt;0,LEN(D111)=0),"NO CHECK-OUT","")</f>
      </c>
      <c r="W111" s="20">
        <f>IFERROR(IF(R111="",W110,IF(R111="ATTENTION",W110-S111,IF(S111&gt;R111,W110-T111,W110+T111))),"")</f>
        <v>25569.1875</v>
      </c>
    </row>
    <row x14ac:dyDescent="0.25" r="112" customHeight="1" ht="17.25">
      <c r="A112" s="21"/>
      <c r="B112" s="24"/>
      <c r="C112" s="35"/>
      <c r="D112" s="35"/>
      <c r="E112" s="37"/>
      <c r="F112" s="37"/>
      <c r="G112" s="21"/>
      <c r="H112" s="21"/>
      <c r="I112" s="21"/>
      <c r="J112" s="43">
        <f>IFERROR(DATE((LEFT(B112,4)),MID(B112,5,2),RIGHT(B112,2)),"")</f>
        <v>25569.1875</v>
      </c>
      <c r="K112" s="21"/>
      <c r="L112" s="49">
        <f>IF(A112="Total Hours","",IF(J112="",L111,J112))</f>
        <v>25569.1875</v>
      </c>
      <c r="M112" s="50">
        <f>A112</f>
      </c>
      <c r="N112" s="17">
        <f>IF(C112="",IF(U112="",C112,""),C112)</f>
        <v>25569.1875</v>
      </c>
      <c r="O112" s="17">
        <f>IF(D112="",IF(U112="",D112,""),D112)</f>
        <v>25569.1875</v>
      </c>
      <c r="P112" s="17">
        <f>IFERROR(IF(N112&gt;O112,G112,O112-N112),"")</f>
        <v>25569.1875</v>
      </c>
      <c r="Q112" s="17">
        <f>IF(U112="",TIME(0,30,0),"")</f>
        <v>25569.1875</v>
      </c>
      <c r="R112" s="17">
        <f>IFERROR(IF(OR(IFERROR((P112-Q112)&lt;0,""),P112="Missing OUT"),"ATTENTION",P112-Q112),"")</f>
        <v>25569.1875</v>
      </c>
      <c r="S112" s="17">
        <f>TIME(8,0,0)</f>
        <v>25569.1875</v>
      </c>
      <c r="T112" s="17">
        <f>IFERROR(IF(R112="ATTENTION",TIME(8,0,0),IF(S112&gt;R112,S112-R112,R112-S112)),"")</f>
        <v>25569.1875</v>
      </c>
      <c r="U112" s="18">
        <f>IFERROR(VLOOKUP(L112,Calendar!$A$2:$C$261,3,0),"")</f>
      </c>
      <c r="V112" s="19">
        <f>IF(AND(LEN(C112)&gt;0,LEN(D112)=0),"NO CHECK-OUT","")</f>
      </c>
      <c r="W112" s="20">
        <f>IFERROR(IF(R112="",W111,IF(R112="ATTENTION",W111-S112,IF(S112&gt;R112,W111-T112,W111+T112))),"")</f>
        <v>25569.1875</v>
      </c>
    </row>
    <row x14ac:dyDescent="0.25" r="113" customHeight="1" ht="17.25">
      <c r="A113" s="21"/>
      <c r="B113" s="24"/>
      <c r="C113" s="35"/>
      <c r="D113" s="35"/>
      <c r="E113" s="37"/>
      <c r="F113" s="37"/>
      <c r="G113" s="21"/>
      <c r="H113" s="21"/>
      <c r="I113" s="21"/>
      <c r="J113" s="43">
        <f>IFERROR(DATE((LEFT(B113,4)),MID(B113,5,2),RIGHT(B113,2)),"")</f>
        <v>25569.1875</v>
      </c>
      <c r="K113" s="21"/>
      <c r="L113" s="49">
        <f>IF(A113="Total Hours","",IF(J113="",L112,J113))</f>
        <v>25569.1875</v>
      </c>
      <c r="M113" s="50">
        <f>A113</f>
      </c>
      <c r="N113" s="17">
        <f>IF(C113="",IF(U113="",C113,""),C113)</f>
        <v>25569.1875</v>
      </c>
      <c r="O113" s="17">
        <f>IF(D113="",IF(U113="",D113,""),D113)</f>
        <v>25569.1875</v>
      </c>
      <c r="P113" s="17">
        <f>IFERROR(IF(N113&gt;O113,G113,O113-N113),"")</f>
        <v>25569.1875</v>
      </c>
      <c r="Q113" s="17">
        <f>IF(U113="",TIME(0,30,0),"")</f>
        <v>25569.1875</v>
      </c>
      <c r="R113" s="17">
        <f>IFERROR(IF(OR(IFERROR((P113-Q113)&lt;0,""),P113="Missing OUT"),"ATTENTION",P113-Q113),"")</f>
        <v>25569.1875</v>
      </c>
      <c r="S113" s="17">
        <f>TIME(8,0,0)</f>
        <v>25569.1875</v>
      </c>
      <c r="T113" s="17">
        <f>IFERROR(IF(R113="ATTENTION",TIME(8,0,0),IF(S113&gt;R113,S113-R113,R113-S113)),"")</f>
        <v>25569.1875</v>
      </c>
      <c r="U113" s="18">
        <f>IFERROR(VLOOKUP(L113,Calendar!$A$2:$C$261,3,0),"")</f>
      </c>
      <c r="V113" s="19">
        <f>IF(AND(LEN(C113)&gt;0,LEN(D113)=0),"NO CHECK-OUT","")</f>
      </c>
      <c r="W113" s="20">
        <f>IFERROR(IF(R113="",W112,IF(R113="ATTENTION",W112-S113,IF(S113&gt;R113,W112-T113,W112+T113))),"")</f>
        <v>25569.1875</v>
      </c>
    </row>
    <row x14ac:dyDescent="0.25" r="114" customHeight="1" ht="17.25">
      <c r="A114" s="21"/>
      <c r="B114" s="24"/>
      <c r="C114" s="35"/>
      <c r="D114" s="35"/>
      <c r="E114" s="37"/>
      <c r="F114" s="37"/>
      <c r="G114" s="21"/>
      <c r="H114" s="21"/>
      <c r="I114" s="21"/>
      <c r="J114" s="43">
        <f>IFERROR(DATE((LEFT(B114,4)),MID(B114,5,2),RIGHT(B114,2)),"")</f>
        <v>25569.1875</v>
      </c>
      <c r="K114" s="21"/>
      <c r="L114" s="49">
        <f>IF(A114="Total Hours","",IF(J114="",L113,J114))</f>
        <v>25569.1875</v>
      </c>
      <c r="M114" s="50">
        <f>A114</f>
      </c>
      <c r="N114" s="17">
        <f>IF(C114="",IF(U114="",C114,""),C114)</f>
        <v>25569.1875</v>
      </c>
      <c r="O114" s="17">
        <f>IF(D114="",IF(U114="",D114,""),D114)</f>
        <v>25569.1875</v>
      </c>
      <c r="P114" s="17">
        <f>IFERROR(IF(N114&gt;O114,G114,O114-N114),"")</f>
        <v>25569.1875</v>
      </c>
      <c r="Q114" s="17">
        <f>IF(U114="",TIME(0,30,0),"")</f>
        <v>25569.1875</v>
      </c>
      <c r="R114" s="17">
        <f>IFERROR(IF(OR(IFERROR((P114-Q114)&lt;0,""),P114="Missing OUT"),"ATTENTION",P114-Q114),"")</f>
        <v>25569.1875</v>
      </c>
      <c r="S114" s="17">
        <f>TIME(8,0,0)</f>
        <v>25569.1875</v>
      </c>
      <c r="T114" s="17">
        <f>IFERROR(IF(R114="ATTENTION",TIME(8,0,0),IF(S114&gt;R114,S114-R114,R114-S114)),"")</f>
        <v>25569.1875</v>
      </c>
      <c r="U114" s="18">
        <f>IFERROR(VLOOKUP(L114,Calendar!$A$2:$C$261,3,0),"")</f>
      </c>
      <c r="V114" s="19">
        <f>IF(AND(LEN(C114)&gt;0,LEN(D114)=0),"NO CHECK-OUT","")</f>
      </c>
      <c r="W114" s="20">
        <f>IFERROR(IF(R114="",W113,IF(R114="ATTENTION",W113-S114,IF(S114&gt;R114,W113-T114,W113+T114))),"")</f>
        <v>25569.1875</v>
      </c>
    </row>
    <row x14ac:dyDescent="0.25" r="115" customHeight="1" ht="17.25">
      <c r="A115" s="21"/>
      <c r="B115" s="24"/>
      <c r="C115" s="35"/>
      <c r="D115" s="35"/>
      <c r="E115" s="37"/>
      <c r="F115" s="37"/>
      <c r="G115" s="21"/>
      <c r="H115" s="21"/>
      <c r="I115" s="21"/>
      <c r="J115" s="43">
        <f>IFERROR(DATE((LEFT(B115,4)),MID(B115,5,2),RIGHT(B115,2)),"")</f>
        <v>25569.1875</v>
      </c>
      <c r="K115" s="21"/>
      <c r="L115" s="49">
        <f>IF(A115="Total Hours","",IF(J115="",L114,J115))</f>
        <v>25569.1875</v>
      </c>
      <c r="M115" s="50">
        <f>A115</f>
      </c>
      <c r="N115" s="17">
        <f>IF(C115="",IF(U115="",C115,""),C115)</f>
        <v>25569.1875</v>
      </c>
      <c r="O115" s="17">
        <f>IF(D115="",IF(U115="",D115,""),D115)</f>
        <v>25569.1875</v>
      </c>
      <c r="P115" s="17">
        <f>IFERROR(IF(N115&gt;O115,G115,O115-N115),"")</f>
        <v>25569.1875</v>
      </c>
      <c r="Q115" s="17">
        <f>IF(U115="",TIME(0,30,0),"")</f>
        <v>25569.1875</v>
      </c>
      <c r="R115" s="17">
        <f>IFERROR(IF(OR(IFERROR((P115-Q115)&lt;0,""),P115="Missing OUT"),"ATTENTION",P115-Q115),"")</f>
        <v>25569.1875</v>
      </c>
      <c r="S115" s="17">
        <f>TIME(8,0,0)</f>
        <v>25569.1875</v>
      </c>
      <c r="T115" s="17">
        <f>IFERROR(IF(R115="ATTENTION",TIME(8,0,0),IF(S115&gt;R115,S115-R115,R115-S115)),"")</f>
        <v>25569.1875</v>
      </c>
      <c r="U115" s="18">
        <f>IFERROR(VLOOKUP(L115,Calendar!$A$2:$C$261,3,0),"")</f>
      </c>
      <c r="V115" s="19">
        <f>IF(AND(LEN(C115)&gt;0,LEN(D115)=0),"NO CHECK-OUT","")</f>
      </c>
      <c r="W115" s="20">
        <f>IFERROR(IF(R115="",W114,IF(R115="ATTENTION",W114-S115,IF(S115&gt;R115,W114-T115,W114+T115))),"")</f>
        <v>25569.1875</v>
      </c>
    </row>
    <row x14ac:dyDescent="0.25" r="116" customHeight="1" ht="17.25">
      <c r="A116" s="21"/>
      <c r="B116" s="24"/>
      <c r="C116" s="35"/>
      <c r="D116" s="35"/>
      <c r="E116" s="37"/>
      <c r="F116" s="37"/>
      <c r="G116" s="21"/>
      <c r="H116" s="21"/>
      <c r="I116" s="21"/>
      <c r="J116" s="43">
        <f>IFERROR(DATE((LEFT(B116,4)),MID(B116,5,2),RIGHT(B116,2)),"")</f>
        <v>25569.1875</v>
      </c>
      <c r="K116" s="21"/>
      <c r="L116" s="49">
        <f>IF(A116="Total Hours","",IF(J116="",L115,J116))</f>
        <v>25569.1875</v>
      </c>
      <c r="M116" s="50">
        <f>A116</f>
      </c>
      <c r="N116" s="17">
        <f>IF(C116="",IF(U116="",C116,""),C116)</f>
        <v>25569.1875</v>
      </c>
      <c r="O116" s="17">
        <f>IF(D116="",IF(U116="",D116,""),D116)</f>
        <v>25569.1875</v>
      </c>
      <c r="P116" s="17">
        <f>IFERROR(IF(N116&gt;O116,G116,O116-N116),"")</f>
        <v>25569.1875</v>
      </c>
      <c r="Q116" s="17">
        <f>IF(U116="",TIME(0,30,0),"")</f>
        <v>25569.1875</v>
      </c>
      <c r="R116" s="17">
        <f>IFERROR(IF(OR(IFERROR((P116-Q116)&lt;0,""),P116="Missing OUT"),"ATTENTION",P116-Q116),"")</f>
        <v>25569.1875</v>
      </c>
      <c r="S116" s="17">
        <f>TIME(8,0,0)</f>
        <v>25569.1875</v>
      </c>
      <c r="T116" s="17">
        <f>IFERROR(IF(R116="ATTENTION",TIME(8,0,0),IF(S116&gt;R116,S116-R116,R116-S116)),"")</f>
        <v>25569.1875</v>
      </c>
      <c r="U116" s="18">
        <f>IFERROR(VLOOKUP(L116,Calendar!$A$2:$C$261,3,0),"")</f>
      </c>
      <c r="V116" s="19">
        <f>IF(AND(LEN(C116)&gt;0,LEN(D116)=0),"NO CHECK-OUT","")</f>
      </c>
      <c r="W116" s="20">
        <f>IFERROR(IF(R116="",W115,IF(R116="ATTENTION",W115-S116,IF(S116&gt;R116,W115-T116,W115+T116))),"")</f>
        <v>25569.1875</v>
      </c>
    </row>
    <row x14ac:dyDescent="0.25" r="117" customHeight="1" ht="17.25">
      <c r="A117" s="21"/>
      <c r="B117" s="24"/>
      <c r="C117" s="35"/>
      <c r="D117" s="35"/>
      <c r="E117" s="37"/>
      <c r="F117" s="37"/>
      <c r="G117" s="21"/>
      <c r="H117" s="21"/>
      <c r="I117" s="21"/>
      <c r="J117" s="43">
        <f>IFERROR(DATE((LEFT(B117,4)),MID(B117,5,2),RIGHT(B117,2)),"")</f>
        <v>25569.1875</v>
      </c>
      <c r="K117" s="21"/>
      <c r="L117" s="49">
        <f>IF(A117="Total Hours","",IF(J117="",L116,J117))</f>
        <v>25569.1875</v>
      </c>
      <c r="M117" s="50">
        <f>A117</f>
      </c>
      <c r="N117" s="17">
        <f>IF(C117="",IF(U117="",C117,""),C117)</f>
        <v>25569.1875</v>
      </c>
      <c r="O117" s="17">
        <f>IF(D117="",IF(U117="",D117,""),D117)</f>
        <v>25569.1875</v>
      </c>
      <c r="P117" s="17">
        <f>IFERROR(IF(N117&gt;O117,G117,O117-N117),"")</f>
        <v>25569.1875</v>
      </c>
      <c r="Q117" s="17">
        <f>IF(U117="",TIME(0,30,0),"")</f>
        <v>25569.1875</v>
      </c>
      <c r="R117" s="17">
        <f>IFERROR(IF(OR(IFERROR((P117-Q117)&lt;0,""),P117="Missing OUT"),"ATTENTION",P117-Q117),"")</f>
        <v>25569.1875</v>
      </c>
      <c r="S117" s="17">
        <f>TIME(8,0,0)</f>
        <v>25569.1875</v>
      </c>
      <c r="T117" s="17">
        <f>IFERROR(IF(R117="ATTENTION",TIME(8,0,0),IF(S117&gt;R117,S117-R117,R117-S117)),"")</f>
        <v>25569.1875</v>
      </c>
      <c r="U117" s="18">
        <f>IFERROR(VLOOKUP(L117,Calendar!$A$2:$C$261,3,0),"")</f>
      </c>
      <c r="V117" s="19">
        <f>IF(AND(LEN(C117)&gt;0,LEN(D117)=0),"NO CHECK-OUT","")</f>
      </c>
      <c r="W117" s="20">
        <f>IFERROR(IF(R117="",W116,IF(R117="ATTENTION",W116-S117,IF(S117&gt;R117,W116-T117,W116+T117))),"")</f>
        <v>25569.1875</v>
      </c>
    </row>
    <row x14ac:dyDescent="0.25" r="118" customHeight="1" ht="17.25">
      <c r="A118" s="21"/>
      <c r="B118" s="24"/>
      <c r="C118" s="35"/>
      <c r="D118" s="35"/>
      <c r="E118" s="37"/>
      <c r="F118" s="37"/>
      <c r="G118" s="21"/>
      <c r="H118" s="21"/>
      <c r="I118" s="21"/>
      <c r="J118" s="43">
        <f>IFERROR(DATE((LEFT(B118,4)),MID(B118,5,2),RIGHT(B118,2)),"")</f>
        <v>25569.1875</v>
      </c>
      <c r="K118" s="21"/>
      <c r="L118" s="49">
        <f>IF(A118="Total Hours","",IF(J118="",L117,J118))</f>
        <v>25569.1875</v>
      </c>
      <c r="M118" s="50">
        <f>A118</f>
      </c>
      <c r="N118" s="17">
        <f>IF(C118="",IF(U118="",C118,""),C118)</f>
        <v>25569.1875</v>
      </c>
      <c r="O118" s="17">
        <f>IF(D118="",IF(U118="",D118,""),D118)</f>
        <v>25569.1875</v>
      </c>
      <c r="P118" s="17">
        <f>IFERROR(IF(N118&gt;O118,G118,O118-N118),"")</f>
        <v>25569.1875</v>
      </c>
      <c r="Q118" s="17">
        <f>IF(U118="",TIME(0,30,0),"")</f>
        <v>25569.1875</v>
      </c>
      <c r="R118" s="17">
        <f>IFERROR(IF(OR(IFERROR((P118-Q118)&lt;0,""),P118="Missing OUT"),"ATTENTION",P118-Q118),"")</f>
        <v>25569.1875</v>
      </c>
      <c r="S118" s="17">
        <f>TIME(8,0,0)</f>
        <v>25569.1875</v>
      </c>
      <c r="T118" s="17">
        <f>IFERROR(IF(R118="ATTENTION",TIME(8,0,0),IF(S118&gt;R118,S118-R118,R118-S118)),"")</f>
        <v>25569.1875</v>
      </c>
      <c r="U118" s="18">
        <f>IFERROR(VLOOKUP(L118,Calendar!$A$2:$C$261,3,0),"")</f>
      </c>
      <c r="V118" s="19">
        <f>IF(AND(LEN(C118)&gt;0,LEN(D118)=0),"NO CHECK-OUT","")</f>
      </c>
      <c r="W118" s="20">
        <f>IFERROR(IF(R118="",W117,IF(R118="ATTENTION",W117-S118,IF(S118&gt;R118,W117-T118,W117+T118))),"")</f>
        <v>25569.1875</v>
      </c>
    </row>
    <row x14ac:dyDescent="0.25" r="119" customHeight="1" ht="17.25">
      <c r="A119" s="21"/>
      <c r="B119" s="24"/>
      <c r="C119" s="35"/>
      <c r="D119" s="35"/>
      <c r="E119" s="37"/>
      <c r="F119" s="37"/>
      <c r="G119" s="21"/>
      <c r="H119" s="21"/>
      <c r="I119" s="21"/>
      <c r="J119" s="43">
        <f>IFERROR(DATE((LEFT(B119,4)),MID(B119,5,2),RIGHT(B119,2)),"")</f>
        <v>25569.1875</v>
      </c>
      <c r="K119" s="21"/>
      <c r="L119" s="49">
        <f>IF(A119="Total Hours","",IF(J119="",L118,J119))</f>
        <v>25569.1875</v>
      </c>
      <c r="M119" s="50">
        <f>A119</f>
      </c>
      <c r="N119" s="17">
        <f>IF(C119="",IF(U119="",C119,""),C119)</f>
        <v>25569.1875</v>
      </c>
      <c r="O119" s="17">
        <f>IF(D119="",IF(U119="",D119,""),D119)</f>
        <v>25569.1875</v>
      </c>
      <c r="P119" s="17">
        <f>IFERROR(IF(N119&gt;O119,G119,O119-N119),"")</f>
        <v>25569.1875</v>
      </c>
      <c r="Q119" s="17">
        <f>IF(U119="",TIME(0,30,0),"")</f>
        <v>25569.1875</v>
      </c>
      <c r="R119" s="17">
        <f>IFERROR(IF(OR(IFERROR((P119-Q119)&lt;0,""),P119="Missing OUT"),"ATTENTION",P119-Q119),"")</f>
        <v>25569.1875</v>
      </c>
      <c r="S119" s="17">
        <f>TIME(8,0,0)</f>
        <v>25569.1875</v>
      </c>
      <c r="T119" s="17">
        <f>IFERROR(IF(R119="ATTENTION",TIME(8,0,0),IF(S119&gt;R119,S119-R119,R119-S119)),"")</f>
        <v>25569.1875</v>
      </c>
      <c r="U119" s="18">
        <f>IFERROR(VLOOKUP(L119,Calendar!$A$2:$C$261,3,0),"")</f>
      </c>
      <c r="V119" s="19">
        <f>IF(AND(LEN(C119)&gt;0,LEN(D119)=0),"NO CHECK-OUT","")</f>
      </c>
      <c r="W119" s="20">
        <f>IFERROR(IF(R119="",W118,IF(R119="ATTENTION",W118-S119,IF(S119&gt;R119,W118-T119,W118+T119))),"")</f>
        <v>25569.1875</v>
      </c>
    </row>
    <row x14ac:dyDescent="0.25" r="120" customHeight="1" ht="17.25">
      <c r="A120" s="21"/>
      <c r="B120" s="24"/>
      <c r="C120" s="35"/>
      <c r="D120" s="35"/>
      <c r="E120" s="37"/>
      <c r="F120" s="37"/>
      <c r="G120" s="21"/>
      <c r="H120" s="21"/>
      <c r="I120" s="21"/>
      <c r="J120" s="43">
        <f>IFERROR(DATE((LEFT(B120,4)),MID(B120,5,2),RIGHT(B120,2)),"")</f>
        <v>25569.1875</v>
      </c>
      <c r="K120" s="21"/>
      <c r="L120" s="49">
        <f>IF(A120="Total Hours","",IF(J120="",L119,J120))</f>
        <v>25569.1875</v>
      </c>
      <c r="M120" s="50">
        <f>A120</f>
      </c>
      <c r="N120" s="17">
        <f>IF(C120="",IF(U120="",C120,""),C120)</f>
        <v>25569.1875</v>
      </c>
      <c r="O120" s="17">
        <f>IF(D120="",IF(U120="",D120,""),D120)</f>
        <v>25569.1875</v>
      </c>
      <c r="P120" s="17">
        <f>IFERROR(IF(N120&gt;O120,G120,O120-N120),"")</f>
        <v>25569.1875</v>
      </c>
      <c r="Q120" s="17">
        <f>IF(U120="",TIME(0,30,0),"")</f>
        <v>25569.1875</v>
      </c>
      <c r="R120" s="17">
        <f>IFERROR(IF(OR(IFERROR((P120-Q120)&lt;0,""),P120="Missing OUT"),"ATTENTION",P120-Q120),"")</f>
        <v>25569.1875</v>
      </c>
      <c r="S120" s="17">
        <f>TIME(8,0,0)</f>
        <v>25569.1875</v>
      </c>
      <c r="T120" s="17">
        <f>IFERROR(IF(R120="ATTENTION",TIME(8,0,0),IF(S120&gt;R120,S120-R120,R120-S120)),"")</f>
        <v>25569.1875</v>
      </c>
      <c r="U120" s="18">
        <f>IFERROR(VLOOKUP(L120,Calendar!$A$2:$C$261,3,0),"")</f>
      </c>
      <c r="V120" s="19">
        <f>IF(AND(LEN(C120)&gt;0,LEN(D120)=0),"NO CHECK-OUT","")</f>
      </c>
      <c r="W120" s="20">
        <f>IFERROR(IF(R120="",W119,IF(R120="ATTENTION",W119-S120,IF(S120&gt;R120,W119-T120,W119+T120))),"")</f>
        <v>25569.1875</v>
      </c>
    </row>
    <row x14ac:dyDescent="0.25" r="121" customHeight="1" ht="17.25">
      <c r="A121" s="21"/>
      <c r="B121" s="24"/>
      <c r="C121" s="35"/>
      <c r="D121" s="35"/>
      <c r="E121" s="37"/>
      <c r="F121" s="37"/>
      <c r="G121" s="21"/>
      <c r="H121" s="21"/>
      <c r="I121" s="21"/>
      <c r="J121" s="43">
        <f>IFERROR(DATE((LEFT(B121,4)),MID(B121,5,2),RIGHT(B121,2)),"")</f>
        <v>25569.1875</v>
      </c>
      <c r="K121" s="21"/>
      <c r="L121" s="49">
        <f>IF(A121="Total Hours","",IF(J121="",L120,J121))</f>
        <v>25569.1875</v>
      </c>
      <c r="M121" s="50">
        <f>A121</f>
      </c>
      <c r="N121" s="17">
        <f>IF(C121="",IF(U121="",C121,""),C121)</f>
        <v>25569.1875</v>
      </c>
      <c r="O121" s="17">
        <f>IF(D121="",IF(U121="",D121,""),D121)</f>
        <v>25569.1875</v>
      </c>
      <c r="P121" s="17">
        <f>IFERROR(IF(N121&gt;O121,G121,O121-N121),"")</f>
        <v>25569.1875</v>
      </c>
      <c r="Q121" s="17">
        <f>IF(U121="",TIME(0,30,0),"")</f>
        <v>25569.1875</v>
      </c>
      <c r="R121" s="17">
        <f>IFERROR(IF(OR(IFERROR((P121-Q121)&lt;0,""),P121="Missing OUT"),"ATTENTION",P121-Q121),"")</f>
        <v>25569.1875</v>
      </c>
      <c r="S121" s="17">
        <f>TIME(8,0,0)</f>
        <v>25569.1875</v>
      </c>
      <c r="T121" s="17">
        <f>IFERROR(IF(R121="ATTENTION",TIME(8,0,0),IF(S121&gt;R121,S121-R121,R121-S121)),"")</f>
        <v>25569.1875</v>
      </c>
      <c r="U121" s="18">
        <f>IFERROR(VLOOKUP(L121,Calendar!$A$2:$C$261,3,0),"")</f>
      </c>
      <c r="V121" s="19">
        <f>IF(AND(LEN(C121)&gt;0,LEN(D121)=0),"NO CHECK-OUT","")</f>
      </c>
      <c r="W121" s="20">
        <f>IFERROR(IF(R121="",W120,IF(R121="ATTENTION",W120-S121,IF(S121&gt;R121,W120-T121,W120+T121))),"")</f>
        <v>25569.1875</v>
      </c>
    </row>
    <row x14ac:dyDescent="0.25" r="122" customHeight="1" ht="17.25">
      <c r="A122" s="21"/>
      <c r="B122" s="24"/>
      <c r="C122" s="35"/>
      <c r="D122" s="35"/>
      <c r="E122" s="37"/>
      <c r="F122" s="37"/>
      <c r="G122" s="21"/>
      <c r="H122" s="21"/>
      <c r="I122" s="21"/>
      <c r="J122" s="43">
        <f>IFERROR(DATE((LEFT(B122,4)),MID(B122,5,2),RIGHT(B122,2)),"")</f>
        <v>25569.1875</v>
      </c>
      <c r="K122" s="21"/>
      <c r="L122" s="49">
        <f>IF(A122="Total Hours","",IF(J122="",L121,J122))</f>
        <v>25569.1875</v>
      </c>
      <c r="M122" s="50">
        <f>A122</f>
      </c>
      <c r="N122" s="17">
        <f>IF(C122="",IF(U122="",C122,""),C122)</f>
        <v>25569.1875</v>
      </c>
      <c r="O122" s="17">
        <f>IF(D122="",IF(U122="",D122,""),D122)</f>
        <v>25569.1875</v>
      </c>
      <c r="P122" s="17">
        <f>IFERROR(IF(N122&gt;O122,G122,O122-N122),"")</f>
        <v>25569.1875</v>
      </c>
      <c r="Q122" s="17">
        <f>IF(U122="",TIME(0,30,0),"")</f>
        <v>25569.1875</v>
      </c>
      <c r="R122" s="17">
        <f>IFERROR(IF(OR(IFERROR((P122-Q122)&lt;0,""),P122="Missing OUT"),"ATTENTION",P122-Q122),"")</f>
        <v>25569.1875</v>
      </c>
      <c r="S122" s="17">
        <f>TIME(8,0,0)</f>
        <v>25569.1875</v>
      </c>
      <c r="T122" s="17">
        <f>IFERROR(IF(R122="ATTENTION",TIME(8,0,0),IF(S122&gt;R122,S122-R122,R122-S122)),"")</f>
        <v>25569.1875</v>
      </c>
      <c r="U122" s="18">
        <f>IFERROR(VLOOKUP(L122,Calendar!$A$2:$C$261,3,0),"")</f>
      </c>
      <c r="V122" s="19">
        <f>IF(AND(LEN(C122)&gt;0,LEN(D122)=0),"NO CHECK-OUT","")</f>
      </c>
      <c r="W122" s="20">
        <f>IFERROR(IF(R122="",W121,IF(R122="ATTENTION",W121-S122,IF(S122&gt;R122,W121-T122,W121+T122))),"")</f>
        <v>25569.1875</v>
      </c>
    </row>
    <row x14ac:dyDescent="0.25" r="123" customHeight="1" ht="17.25">
      <c r="A123" s="21"/>
      <c r="B123" s="24"/>
      <c r="C123" s="35"/>
      <c r="D123" s="35"/>
      <c r="E123" s="37"/>
      <c r="F123" s="37"/>
      <c r="G123" s="21"/>
      <c r="H123" s="21"/>
      <c r="I123" s="21"/>
      <c r="J123" s="43">
        <f>IFERROR(DATE((LEFT(B123,4)),MID(B123,5,2),RIGHT(B123,2)),"")</f>
        <v>25569.1875</v>
      </c>
      <c r="K123" s="21"/>
      <c r="L123" s="49">
        <f>IF(A123="Total Hours","",IF(J123="",L122,J123))</f>
        <v>25569.1875</v>
      </c>
      <c r="M123" s="50">
        <f>A123</f>
      </c>
      <c r="N123" s="17">
        <f>IF(C123="",IF(U123="",C123,""),C123)</f>
        <v>25569.1875</v>
      </c>
      <c r="O123" s="17">
        <f>IF(D123="",IF(U123="",D123,""),D123)</f>
        <v>25569.1875</v>
      </c>
      <c r="P123" s="17">
        <f>IFERROR(IF(N123&gt;O123,G123,O123-N123),"")</f>
        <v>25569.1875</v>
      </c>
      <c r="Q123" s="17">
        <f>IF(U123="",TIME(0,30,0),"")</f>
        <v>25569.1875</v>
      </c>
      <c r="R123" s="17">
        <f>IFERROR(IF(OR(IFERROR((P123-Q123)&lt;0,""),P123="Missing OUT"),"ATTENTION",P123-Q123),"")</f>
        <v>25569.1875</v>
      </c>
      <c r="S123" s="17">
        <f>TIME(8,0,0)</f>
        <v>25569.1875</v>
      </c>
      <c r="T123" s="17">
        <f>IFERROR(IF(R123="ATTENTION",TIME(8,0,0),IF(S123&gt;R123,S123-R123,R123-S123)),"")</f>
        <v>25569.1875</v>
      </c>
      <c r="U123" s="18">
        <f>IFERROR(VLOOKUP(L123,Calendar!$A$2:$C$261,3,0),"")</f>
      </c>
      <c r="V123" s="19">
        <f>IF(AND(LEN(C123)&gt;0,LEN(D123)=0),"NO CHECK-OUT","")</f>
      </c>
      <c r="W123" s="20">
        <f>IFERROR(IF(R123="",W122,IF(R123="ATTENTION",W122-S123,IF(S123&gt;R123,W122-T123,W122+T123))),"")</f>
        <v>25569.1875</v>
      </c>
    </row>
    <row x14ac:dyDescent="0.25" r="124" customHeight="1" ht="17.25">
      <c r="A124" s="21"/>
      <c r="B124" s="24"/>
      <c r="C124" s="35"/>
      <c r="D124" s="35"/>
      <c r="E124" s="37"/>
      <c r="F124" s="37"/>
      <c r="G124" s="21"/>
      <c r="H124" s="21"/>
      <c r="I124" s="21"/>
      <c r="J124" s="43">
        <f>IFERROR(DATE((LEFT(B124,4)),MID(B124,5,2),RIGHT(B124,2)),"")</f>
        <v>25569.1875</v>
      </c>
      <c r="K124" s="21"/>
      <c r="L124" s="49">
        <f>IF(A124="Total Hours","",IF(J124="",L123,J124))</f>
        <v>25569.1875</v>
      </c>
      <c r="M124" s="50">
        <f>A124</f>
      </c>
      <c r="N124" s="17">
        <f>IF(C124="",IF(U124="",C124,""),C124)</f>
        <v>25569.1875</v>
      </c>
      <c r="O124" s="17">
        <f>IF(D124="",IF(U124="",D124,""),D124)</f>
        <v>25569.1875</v>
      </c>
      <c r="P124" s="17">
        <f>IFERROR(IF(N124&gt;O124,G124,O124-N124),"")</f>
        <v>25569.1875</v>
      </c>
      <c r="Q124" s="17">
        <f>IF(U124="",TIME(0,30,0),"")</f>
        <v>25569.1875</v>
      </c>
      <c r="R124" s="17">
        <f>IFERROR(IF(OR(IFERROR((P124-Q124)&lt;0,""),P124="Missing OUT"),"ATTENTION",P124-Q124),"")</f>
        <v>25569.1875</v>
      </c>
      <c r="S124" s="17">
        <f>TIME(8,0,0)</f>
        <v>25569.1875</v>
      </c>
      <c r="T124" s="17">
        <f>IFERROR(IF(R124="ATTENTION",TIME(8,0,0),IF(S124&gt;R124,S124-R124,R124-S124)),"")</f>
        <v>25569.1875</v>
      </c>
      <c r="U124" s="18">
        <f>IFERROR(VLOOKUP(L124,Calendar!$A$2:$C$261,3,0),"")</f>
      </c>
      <c r="V124" s="19">
        <f>IF(AND(LEN(C124)&gt;0,LEN(D124)=0),"NO CHECK-OUT","")</f>
      </c>
      <c r="W124" s="20">
        <f>IFERROR(IF(R124="",W123,IF(R124="ATTENTION",W123-S124,IF(S124&gt;R124,W123-T124,W123+T124))),"")</f>
        <v>25569.1875</v>
      </c>
    </row>
    <row x14ac:dyDescent="0.25" r="125" customHeight="1" ht="17.25">
      <c r="A125" s="21"/>
      <c r="B125" s="24"/>
      <c r="C125" s="35"/>
      <c r="D125" s="35"/>
      <c r="E125" s="37"/>
      <c r="F125" s="37"/>
      <c r="G125" s="21"/>
      <c r="H125" s="21"/>
      <c r="I125" s="21"/>
      <c r="J125" s="43">
        <f>IFERROR(DATE((LEFT(B125,4)),MID(B125,5,2),RIGHT(B125,2)),"")</f>
        <v>25569.1875</v>
      </c>
      <c r="K125" s="21"/>
      <c r="L125" s="49">
        <f>IF(A125="Total Hours","",IF(J125="",L124,J125))</f>
        <v>25569.1875</v>
      </c>
      <c r="M125" s="50">
        <f>A125</f>
      </c>
      <c r="N125" s="17">
        <f>IF(C125="",IF(U125="",C125,""),C125)</f>
        <v>25569.1875</v>
      </c>
      <c r="O125" s="17">
        <f>IF(D125="",IF(U125="",D125,""),D125)</f>
        <v>25569.1875</v>
      </c>
      <c r="P125" s="17">
        <f>IFERROR(IF(N125&gt;O125,G125,O125-N125),"")</f>
        <v>25569.1875</v>
      </c>
      <c r="Q125" s="17">
        <f>IF(U125="",TIME(0,30,0),"")</f>
        <v>25569.1875</v>
      </c>
      <c r="R125" s="17">
        <f>IFERROR(IF(OR(IFERROR((P125-Q125)&lt;0,""),P125="Missing OUT"),"ATTENTION",P125-Q125),"")</f>
        <v>25569.1875</v>
      </c>
      <c r="S125" s="17">
        <f>TIME(8,0,0)</f>
        <v>25569.1875</v>
      </c>
      <c r="T125" s="17">
        <f>IFERROR(IF(R125="ATTENTION",TIME(8,0,0),IF(S125&gt;R125,S125-R125,R125-S125)),"")</f>
        <v>25569.1875</v>
      </c>
      <c r="U125" s="18">
        <f>IFERROR(VLOOKUP(L125,Calendar!$A$2:$C$261,3,0),"")</f>
      </c>
      <c r="V125" s="19">
        <f>IF(AND(LEN(C125)&gt;0,LEN(D125)=0),"NO CHECK-OUT","")</f>
      </c>
      <c r="W125" s="20">
        <f>IFERROR(IF(R125="",W124,IF(R125="ATTENTION",W124-S125,IF(S125&gt;R125,W124-T125,W124+T125))),"")</f>
        <v>25569.1875</v>
      </c>
    </row>
    <row x14ac:dyDescent="0.25" r="126" customHeight="1" ht="17.25">
      <c r="A126" s="21"/>
      <c r="B126" s="24"/>
      <c r="C126" s="35"/>
      <c r="D126" s="35"/>
      <c r="E126" s="37"/>
      <c r="F126" s="37"/>
      <c r="G126" s="21"/>
      <c r="H126" s="21"/>
      <c r="I126" s="21"/>
      <c r="J126" s="43">
        <f>IFERROR(DATE((LEFT(B126,4)),MID(B126,5,2),RIGHT(B126,2)),"")</f>
        <v>25569.1875</v>
      </c>
      <c r="K126" s="21"/>
      <c r="L126" s="49">
        <f>IF(A126="Total Hours","",IF(J126="",L125,J126))</f>
        <v>25569.1875</v>
      </c>
      <c r="M126" s="50">
        <f>A126</f>
      </c>
      <c r="N126" s="17">
        <f>IF(C126="",IF(U126="",C126,""),C126)</f>
        <v>25569.1875</v>
      </c>
      <c r="O126" s="17">
        <f>IF(D126="",IF(U126="",D126,""),D126)</f>
        <v>25569.1875</v>
      </c>
      <c r="P126" s="17">
        <f>IFERROR(IF(N126&gt;O126,G126,O126-N126),"")</f>
        <v>25569.1875</v>
      </c>
      <c r="Q126" s="17">
        <f>IF(U126="",TIME(0,30,0),"")</f>
        <v>25569.1875</v>
      </c>
      <c r="R126" s="17">
        <f>IFERROR(IF(OR(IFERROR((P126-Q126)&lt;0,""),P126="Missing OUT"),"ATTENTION",P126-Q126),"")</f>
        <v>25569.1875</v>
      </c>
      <c r="S126" s="17">
        <f>TIME(8,0,0)</f>
        <v>25569.1875</v>
      </c>
      <c r="T126" s="17">
        <f>IFERROR(IF(R126="ATTENTION",TIME(8,0,0),IF(S126&gt;R126,S126-R126,R126-S126)),"")</f>
        <v>25569.1875</v>
      </c>
      <c r="U126" s="18">
        <f>IFERROR(VLOOKUP(L126,Calendar!$A$2:$C$261,3,0),"")</f>
      </c>
      <c r="V126" s="19">
        <f>IF(AND(LEN(C126)&gt;0,LEN(D126)=0),"NO CHECK-OUT","")</f>
      </c>
      <c r="W126" s="20">
        <f>IFERROR(IF(R126="",W125,IF(R126="ATTENTION",W125-S126,IF(S126&gt;R126,W125-T126,W125+T126))),"")</f>
        <v>25569.1875</v>
      </c>
    </row>
    <row x14ac:dyDescent="0.25" r="127" customHeight="1" ht="17.25">
      <c r="A127" s="21"/>
      <c r="B127" s="24"/>
      <c r="C127" s="35"/>
      <c r="D127" s="35"/>
      <c r="E127" s="37"/>
      <c r="F127" s="37"/>
      <c r="G127" s="21"/>
      <c r="H127" s="21"/>
      <c r="I127" s="21"/>
      <c r="J127" s="43">
        <f>IFERROR(DATE((LEFT(B127,4)),MID(B127,5,2),RIGHT(B127,2)),"")</f>
        <v>25569.1875</v>
      </c>
      <c r="K127" s="21"/>
      <c r="L127" s="49">
        <f>IF(A127="Total Hours","",IF(J127="",L126,J127))</f>
        <v>25569.1875</v>
      </c>
      <c r="M127" s="50">
        <f>A127</f>
      </c>
      <c r="N127" s="17">
        <f>IF(C127="",IF(U127="",C127,""),C127)</f>
        <v>25569.1875</v>
      </c>
      <c r="O127" s="17">
        <f>IF(D127="",IF(U127="",D127,""),D127)</f>
        <v>25569.1875</v>
      </c>
      <c r="P127" s="17">
        <f>IFERROR(IF(N127&gt;O127,G127,O127-N127),"")</f>
        <v>25569.1875</v>
      </c>
      <c r="Q127" s="17">
        <f>IF(U127="",TIME(0,30,0),"")</f>
        <v>25569.1875</v>
      </c>
      <c r="R127" s="17">
        <f>IFERROR(IF(OR(IFERROR((P127-Q127)&lt;0,""),P127="Missing OUT"),"ATTENTION",P127-Q127),"")</f>
        <v>25569.1875</v>
      </c>
      <c r="S127" s="17">
        <f>TIME(8,0,0)</f>
        <v>25569.1875</v>
      </c>
      <c r="T127" s="17">
        <f>IFERROR(IF(R127="ATTENTION",TIME(8,0,0),IF(S127&gt;R127,S127-R127,R127-S127)),"")</f>
        <v>25569.1875</v>
      </c>
      <c r="U127" s="18">
        <f>IFERROR(VLOOKUP(L127,Calendar!$A$2:$C$261,3,0),"")</f>
      </c>
      <c r="V127" s="19">
        <f>IF(AND(LEN(C127)&gt;0,LEN(D127)=0),"NO CHECK-OUT","")</f>
      </c>
      <c r="W127" s="20">
        <f>IFERROR(IF(R127="",W126,IF(R127="ATTENTION",W126-S127,IF(S127&gt;R127,W126-T127,W126+T127))),"")</f>
        <v>25569.1875</v>
      </c>
    </row>
    <row x14ac:dyDescent="0.25" r="128" customHeight="1" ht="17.25">
      <c r="A128" s="21"/>
      <c r="B128" s="24"/>
      <c r="C128" s="35"/>
      <c r="D128" s="35"/>
      <c r="E128" s="37"/>
      <c r="F128" s="37"/>
      <c r="G128" s="21"/>
      <c r="H128" s="21"/>
      <c r="I128" s="21"/>
      <c r="J128" s="43">
        <f>IFERROR(DATE((LEFT(B128,4)),MID(B128,5,2),RIGHT(B128,2)),"")</f>
        <v>25569.1875</v>
      </c>
      <c r="K128" s="21"/>
      <c r="L128" s="49">
        <f>IF(A128="Total Hours","",IF(J128="",L127,J128))</f>
        <v>25569.1875</v>
      </c>
      <c r="M128" s="50">
        <f>A128</f>
      </c>
      <c r="N128" s="17">
        <f>IF(C128="",IF(U128="",C128,""),C128)</f>
        <v>25569.1875</v>
      </c>
      <c r="O128" s="17">
        <f>IF(D128="",IF(U128="",D128,""),D128)</f>
        <v>25569.1875</v>
      </c>
      <c r="P128" s="17">
        <f>IFERROR(IF(N128&gt;O128,G128,O128-N128),"")</f>
        <v>25569.1875</v>
      </c>
      <c r="Q128" s="17">
        <f>IF(U128="",TIME(0,30,0),"")</f>
        <v>25569.1875</v>
      </c>
      <c r="R128" s="17">
        <f>IFERROR(IF(OR(IFERROR((P128-Q128)&lt;0,""),P128="Missing OUT"),"ATTENTION",P128-Q128),"")</f>
        <v>25569.1875</v>
      </c>
      <c r="S128" s="17">
        <f>TIME(8,0,0)</f>
        <v>25569.1875</v>
      </c>
      <c r="T128" s="17">
        <f>IFERROR(IF(R128="ATTENTION",TIME(8,0,0),IF(S128&gt;R128,S128-R128,R128-S128)),"")</f>
        <v>25569.1875</v>
      </c>
      <c r="U128" s="18">
        <f>IFERROR(VLOOKUP(L128,Calendar!$A$2:$C$261,3,0),"")</f>
      </c>
      <c r="V128" s="19">
        <f>IF(AND(LEN(C128)&gt;0,LEN(D128)=0),"NO CHECK-OUT","")</f>
      </c>
      <c r="W128" s="20">
        <f>IFERROR(IF(R128="",W127,IF(R128="ATTENTION",W127-S128,IF(S128&gt;R128,W127-T128,W127+T128))),"")</f>
        <v>25569.1875</v>
      </c>
    </row>
    <row x14ac:dyDescent="0.25" r="129" customHeight="1" ht="17.25">
      <c r="A129" s="21"/>
      <c r="B129" s="24"/>
      <c r="C129" s="35"/>
      <c r="D129" s="35"/>
      <c r="E129" s="37"/>
      <c r="F129" s="37"/>
      <c r="G129" s="21"/>
      <c r="H129" s="21"/>
      <c r="I129" s="21"/>
      <c r="J129" s="43">
        <f>IFERROR(DATE((LEFT(B129,4)),MID(B129,5,2),RIGHT(B129,2)),"")</f>
        <v>25569.1875</v>
      </c>
      <c r="K129" s="21"/>
      <c r="L129" s="49">
        <f>IF(A129="Total Hours","",IF(J129="",L128,J129))</f>
        <v>25569.1875</v>
      </c>
      <c r="M129" s="50">
        <f>A129</f>
      </c>
      <c r="N129" s="17">
        <f>IF(C129="",IF(U129="",C129,""),C129)</f>
        <v>25569.1875</v>
      </c>
      <c r="O129" s="17">
        <f>IF(D129="",IF(U129="",D129,""),D129)</f>
        <v>25569.1875</v>
      </c>
      <c r="P129" s="17">
        <f>IFERROR(IF(N129&gt;O129,G129,O129-N129),"")</f>
        <v>25569.1875</v>
      </c>
      <c r="Q129" s="17">
        <f>IF(U129="",TIME(0,30,0),"")</f>
        <v>25569.1875</v>
      </c>
      <c r="R129" s="17">
        <f>IFERROR(IF(OR(IFERROR((P129-Q129)&lt;0,""),P129="Missing OUT"),"ATTENTION",P129-Q129),"")</f>
        <v>25569.1875</v>
      </c>
      <c r="S129" s="17">
        <f>TIME(8,0,0)</f>
        <v>25569.1875</v>
      </c>
      <c r="T129" s="17">
        <f>IFERROR(IF(R129="ATTENTION",TIME(8,0,0),IF(S129&gt;R129,S129-R129,R129-S129)),"")</f>
        <v>25569.1875</v>
      </c>
      <c r="U129" s="18">
        <f>IFERROR(VLOOKUP(L129,Calendar!$A$2:$C$261,3,0),"")</f>
      </c>
      <c r="V129" s="19">
        <f>IF(AND(LEN(C129)&gt;0,LEN(D129)=0),"NO CHECK-OUT","")</f>
      </c>
      <c r="W129" s="20">
        <f>IFERROR(IF(R129="",W128,IF(R129="ATTENTION",W128-S129,IF(S129&gt;R129,W128-T129,W128+T129))),"")</f>
        <v>25569.1875</v>
      </c>
    </row>
    <row x14ac:dyDescent="0.25" r="130" customHeight="1" ht="17.25">
      <c r="A130" s="21"/>
      <c r="B130" s="24"/>
      <c r="C130" s="35"/>
      <c r="D130" s="35"/>
      <c r="E130" s="37"/>
      <c r="F130" s="37"/>
      <c r="G130" s="21"/>
      <c r="H130" s="21"/>
      <c r="I130" s="21"/>
      <c r="J130" s="43">
        <f>IFERROR(DATE((LEFT(B130,4)),MID(B130,5,2),RIGHT(B130,2)),"")</f>
        <v>25569.1875</v>
      </c>
      <c r="K130" s="21"/>
      <c r="L130" s="49">
        <f>IF(A130="Total Hours","",IF(J130="",L129,J130))</f>
        <v>25569.1875</v>
      </c>
      <c r="M130" s="50">
        <f>A130</f>
      </c>
      <c r="N130" s="17">
        <f>IF(C130="",IF(U130="",C130,""),C130)</f>
        <v>25569.1875</v>
      </c>
      <c r="O130" s="17">
        <f>IF(D130="",IF(U130="",D130,""),D130)</f>
        <v>25569.1875</v>
      </c>
      <c r="P130" s="17">
        <f>IFERROR(IF(N130&gt;O130,G130,O130-N130),"")</f>
        <v>25569.1875</v>
      </c>
      <c r="Q130" s="17">
        <f>IF(U130="",TIME(0,30,0),"")</f>
        <v>25569.1875</v>
      </c>
      <c r="R130" s="17">
        <f>IFERROR(IF(OR(IFERROR((P130-Q130)&lt;0,""),P130="Missing OUT"),"ATTENTION",P130-Q130),"")</f>
        <v>25569.1875</v>
      </c>
      <c r="S130" s="17">
        <f>TIME(8,0,0)</f>
        <v>25569.1875</v>
      </c>
      <c r="T130" s="17">
        <f>IFERROR(IF(R130="ATTENTION",TIME(8,0,0),IF(S130&gt;R130,S130-R130,R130-S130)),"")</f>
        <v>25569.1875</v>
      </c>
      <c r="U130" s="18">
        <f>IFERROR(VLOOKUP(L130,Calendar!$A$2:$C$261,3,0),"")</f>
      </c>
      <c r="V130" s="19">
        <f>IF(AND(LEN(C130)&gt;0,LEN(D130)=0),"NO CHECK-OUT","")</f>
      </c>
      <c r="W130" s="20">
        <f>IFERROR(IF(R130="",W129,IF(R130="ATTENTION",W129-S130,IF(S130&gt;R130,W129-T130,W129+T130))),"")</f>
        <v>25569.1875</v>
      </c>
    </row>
    <row x14ac:dyDescent="0.25" r="131" customHeight="1" ht="17.25">
      <c r="A131" s="21"/>
      <c r="B131" s="24"/>
      <c r="C131" s="35"/>
      <c r="D131" s="35"/>
      <c r="E131" s="37"/>
      <c r="F131" s="37"/>
      <c r="G131" s="21"/>
      <c r="H131" s="21"/>
      <c r="I131" s="21"/>
      <c r="J131" s="43">
        <f>IFERROR(DATE((LEFT(B131,4)),MID(B131,5,2),RIGHT(B131,2)),"")</f>
        <v>25569.1875</v>
      </c>
      <c r="K131" s="21"/>
      <c r="L131" s="49">
        <f>IF(A131="Total Hours","",IF(J131="",L130,J131))</f>
        <v>25569.1875</v>
      </c>
      <c r="M131" s="50">
        <f>A131</f>
      </c>
      <c r="N131" s="17">
        <f>IF(C131="",IF(U131="",C131,""),C131)</f>
        <v>25569.1875</v>
      </c>
      <c r="O131" s="17">
        <f>IF(D131="",IF(U131="",D131,""),D131)</f>
        <v>25569.1875</v>
      </c>
      <c r="P131" s="17">
        <f>IFERROR(IF(N131&gt;O131,G131,O131-N131),"")</f>
        <v>25569.1875</v>
      </c>
      <c r="Q131" s="17">
        <f>IF(U131="",TIME(0,30,0),"")</f>
        <v>25569.1875</v>
      </c>
      <c r="R131" s="17">
        <f>IFERROR(IF(OR(IFERROR((P131-Q131)&lt;0,""),P131="Missing OUT"),"ATTENTION",P131-Q131),"")</f>
        <v>25569.1875</v>
      </c>
      <c r="S131" s="17">
        <f>TIME(8,0,0)</f>
        <v>25569.1875</v>
      </c>
      <c r="T131" s="17">
        <f>IFERROR(IF(R131="ATTENTION",TIME(8,0,0),IF(S131&gt;R131,S131-R131,R131-S131)),"")</f>
        <v>25569.1875</v>
      </c>
      <c r="U131" s="18">
        <f>IFERROR(VLOOKUP(L131,Calendar!$A$2:$C$261,3,0),"")</f>
      </c>
      <c r="V131" s="19">
        <f>IF(AND(LEN(C131)&gt;0,LEN(D131)=0),"NO CHECK-OUT","")</f>
      </c>
      <c r="W131" s="20">
        <f>IFERROR(IF(R131="",W130,IF(R131="ATTENTION",W130-S131,IF(S131&gt;R131,W130-T131,W130+T131))),"")</f>
        <v>25569.1875</v>
      </c>
    </row>
    <row x14ac:dyDescent="0.25" r="132" customHeight="1" ht="17.25">
      <c r="A132" s="21"/>
      <c r="B132" s="24"/>
      <c r="C132" s="35"/>
      <c r="D132" s="35"/>
      <c r="E132" s="37"/>
      <c r="F132" s="37"/>
      <c r="G132" s="21"/>
      <c r="H132" s="21"/>
      <c r="I132" s="21"/>
      <c r="J132" s="43">
        <f>IFERROR(DATE((LEFT(B132,4)),MID(B132,5,2),RIGHT(B132,2)),"")</f>
        <v>25569.1875</v>
      </c>
      <c r="K132" s="21"/>
      <c r="L132" s="49">
        <f>IF(A132="Total Hours","",IF(J132="",L131,J132))</f>
        <v>25569.1875</v>
      </c>
      <c r="M132" s="50">
        <f>A132</f>
      </c>
      <c r="N132" s="17">
        <f>IF(C132="",IF(U132="",C132,""),C132)</f>
        <v>25569.1875</v>
      </c>
      <c r="O132" s="17">
        <f>IF(D132="",IF(U132="",D132,""),D132)</f>
        <v>25569.1875</v>
      </c>
      <c r="P132" s="17">
        <f>IFERROR(IF(N132&gt;O132,G132,O132-N132),"")</f>
        <v>25569.1875</v>
      </c>
      <c r="Q132" s="17">
        <f>IF(U132="",TIME(0,30,0),"")</f>
        <v>25569.1875</v>
      </c>
      <c r="R132" s="17">
        <f>IFERROR(IF(OR(IFERROR((P132-Q132)&lt;0,""),P132="Missing OUT"),"ATTENTION",P132-Q132),"")</f>
        <v>25569.1875</v>
      </c>
      <c r="S132" s="17">
        <f>TIME(8,0,0)</f>
        <v>25569.1875</v>
      </c>
      <c r="T132" s="17">
        <f>IFERROR(IF(R132="ATTENTION",TIME(8,0,0),IF(S132&gt;R132,S132-R132,R132-S132)),"")</f>
        <v>25569.1875</v>
      </c>
      <c r="U132" s="18">
        <f>IFERROR(VLOOKUP(L132,Calendar!$A$2:$C$261,3,0),"")</f>
      </c>
      <c r="V132" s="19">
        <f>IF(AND(LEN(C132)&gt;0,LEN(D132)=0),"NO CHECK-OUT","")</f>
      </c>
      <c r="W132" s="20">
        <f>IFERROR(IF(R132="",W131,IF(R132="ATTENTION",W131-S132,IF(S132&gt;R132,W131-T132,W131+T132))),"")</f>
        <v>25569.1875</v>
      </c>
    </row>
    <row x14ac:dyDescent="0.25" r="133" customHeight="1" ht="17.25">
      <c r="A133" s="21"/>
      <c r="B133" s="24"/>
      <c r="C133" s="35"/>
      <c r="D133" s="35"/>
      <c r="E133" s="37"/>
      <c r="F133" s="37"/>
      <c r="G133" s="21"/>
      <c r="H133" s="21"/>
      <c r="I133" s="21"/>
      <c r="J133" s="43">
        <f>IFERROR(DATE((LEFT(B133,4)),MID(B133,5,2),RIGHT(B133,2)),"")</f>
        <v>25569.1875</v>
      </c>
      <c r="K133" s="21"/>
      <c r="L133" s="49">
        <f>IF(A133="Total Hours","",IF(J133="",L132,J133))</f>
        <v>25569.1875</v>
      </c>
      <c r="M133" s="50">
        <f>A133</f>
      </c>
      <c r="N133" s="17">
        <f>IF(C133="",IF(U133="",C133,""),C133)</f>
        <v>25569.1875</v>
      </c>
      <c r="O133" s="17">
        <f>IF(D133="",IF(U133="",D133,""),D133)</f>
        <v>25569.1875</v>
      </c>
      <c r="P133" s="17">
        <f>IFERROR(IF(N133&gt;O133,G133,O133-N133),"")</f>
        <v>25569.1875</v>
      </c>
      <c r="Q133" s="17">
        <f>IF(U133="",TIME(0,30,0),"")</f>
        <v>25569.1875</v>
      </c>
      <c r="R133" s="17">
        <f>IFERROR(IF(OR(IFERROR((P133-Q133)&lt;0,""),P133="Missing OUT"),"ATTENTION",P133-Q133),"")</f>
        <v>25569.1875</v>
      </c>
      <c r="S133" s="17">
        <f>TIME(8,0,0)</f>
        <v>25569.1875</v>
      </c>
      <c r="T133" s="17">
        <f>IFERROR(IF(R133="ATTENTION",TIME(8,0,0),IF(S133&gt;R133,S133-R133,R133-S133)),"")</f>
        <v>25569.1875</v>
      </c>
      <c r="U133" s="18">
        <f>IFERROR(VLOOKUP(L133,Calendar!$A$2:$C$261,3,0),"")</f>
      </c>
      <c r="V133" s="19">
        <f>IF(AND(LEN(C133)&gt;0,LEN(D133)=0),"NO CHECK-OUT","")</f>
      </c>
      <c r="W133" s="20">
        <f>IFERROR(IF(R133="",W132,IF(R133="ATTENTION",W132-S133,IF(S133&gt;R133,W132-T133,W132+T133))),"")</f>
        <v>25569.1875</v>
      </c>
    </row>
    <row x14ac:dyDescent="0.25" r="134" customHeight="1" ht="17.25">
      <c r="A134" s="21"/>
      <c r="B134" s="24"/>
      <c r="C134" s="35"/>
      <c r="D134" s="35"/>
      <c r="E134" s="37"/>
      <c r="F134" s="37"/>
      <c r="G134" s="21"/>
      <c r="H134" s="21"/>
      <c r="I134" s="21"/>
      <c r="J134" s="43">
        <f>IFERROR(DATE((LEFT(B134,4)),MID(B134,5,2),RIGHT(B134,2)),"")</f>
        <v>25569.1875</v>
      </c>
      <c r="K134" s="21"/>
      <c r="L134" s="49">
        <f>IF(A134="Total Hours","",IF(J134="",L133,J134))</f>
        <v>25569.1875</v>
      </c>
      <c r="M134" s="50">
        <f>A134</f>
      </c>
      <c r="N134" s="17">
        <f>IF(C134="",IF(U134="",C134,""),C134)</f>
        <v>25569.1875</v>
      </c>
      <c r="O134" s="17">
        <f>IF(D134="",IF(U134="",D134,""),D134)</f>
        <v>25569.1875</v>
      </c>
      <c r="P134" s="17">
        <f>IFERROR(IF(N134&gt;O134,G134,O134-N134),"")</f>
        <v>25569.1875</v>
      </c>
      <c r="Q134" s="17">
        <f>IF(U134="",TIME(0,30,0),"")</f>
        <v>25569.1875</v>
      </c>
      <c r="R134" s="17">
        <f>IFERROR(IF(OR(IFERROR((P134-Q134)&lt;0,""),P134="Missing OUT"),"ATTENTION",P134-Q134),"")</f>
        <v>25569.1875</v>
      </c>
      <c r="S134" s="17">
        <f>TIME(8,0,0)</f>
        <v>25569.1875</v>
      </c>
      <c r="T134" s="17">
        <f>IFERROR(IF(R134="ATTENTION",TIME(8,0,0),IF(S134&gt;R134,S134-R134,R134-S134)),"")</f>
        <v>25569.1875</v>
      </c>
      <c r="U134" s="18">
        <f>IFERROR(VLOOKUP(L134,Calendar!$A$2:$C$261,3,0),"")</f>
      </c>
      <c r="V134" s="19">
        <f>IF(AND(LEN(C134)&gt;0,LEN(D134)=0),"NO CHECK-OUT","")</f>
      </c>
      <c r="W134" s="20">
        <f>IFERROR(IF(R134="",W133,IF(R134="ATTENTION",W133-S134,IF(S134&gt;R134,W133-T134,W133+T134))),"")</f>
        <v>25569.1875</v>
      </c>
    </row>
    <row x14ac:dyDescent="0.25" r="135" customHeight="1" ht="17.25">
      <c r="A135" s="21"/>
      <c r="B135" s="24"/>
      <c r="C135" s="35"/>
      <c r="D135" s="35"/>
      <c r="E135" s="37"/>
      <c r="F135" s="37"/>
      <c r="G135" s="21"/>
      <c r="H135" s="21"/>
      <c r="I135" s="21"/>
      <c r="J135" s="43">
        <f>IFERROR(DATE((LEFT(B135,4)),MID(B135,5,2),RIGHT(B135,2)),"")</f>
        <v>25569.1875</v>
      </c>
      <c r="K135" s="21"/>
      <c r="L135" s="49">
        <f>IF(A135="Total Hours","",IF(J135="",L134,J135))</f>
        <v>25569.1875</v>
      </c>
      <c r="M135" s="50">
        <f>A135</f>
      </c>
      <c r="N135" s="17">
        <f>IF(C135="",IF(U135="",C135,""),C135)</f>
        <v>25569.1875</v>
      </c>
      <c r="O135" s="17">
        <f>IF(D135="",IF(U135="",D135,""),D135)</f>
        <v>25569.1875</v>
      </c>
      <c r="P135" s="17">
        <f>IFERROR(IF(N135&gt;O135,G135,O135-N135),"")</f>
        <v>25569.1875</v>
      </c>
      <c r="Q135" s="17">
        <f>IF(U135="",TIME(0,30,0),"")</f>
        <v>25569.1875</v>
      </c>
      <c r="R135" s="17">
        <f>IFERROR(IF(OR(IFERROR((P135-Q135)&lt;0,""),P135="Missing OUT"),"ATTENTION",P135-Q135),"")</f>
        <v>25569.1875</v>
      </c>
      <c r="S135" s="17">
        <f>TIME(8,0,0)</f>
        <v>25569.1875</v>
      </c>
      <c r="T135" s="17">
        <f>IFERROR(IF(R135="ATTENTION",TIME(8,0,0),IF(S135&gt;R135,S135-R135,R135-S135)),"")</f>
        <v>25569.1875</v>
      </c>
      <c r="U135" s="18">
        <f>IFERROR(VLOOKUP(L135,Calendar!$A$2:$C$261,3,0),"")</f>
      </c>
      <c r="V135" s="19">
        <f>IF(AND(LEN(C135)&gt;0,LEN(D135)=0),"NO CHECK-OUT","")</f>
      </c>
      <c r="W135" s="20">
        <f>IFERROR(IF(R135="",W134,IF(R135="ATTENTION",W134-S135,IF(S135&gt;R135,W134-T135,W134+T135))),"")</f>
        <v>25569.1875</v>
      </c>
    </row>
    <row x14ac:dyDescent="0.25" r="136" customHeight="1" ht="17.25">
      <c r="A136" s="21"/>
      <c r="B136" s="24"/>
      <c r="C136" s="35"/>
      <c r="D136" s="35"/>
      <c r="E136" s="37"/>
      <c r="F136" s="37"/>
      <c r="G136" s="21"/>
      <c r="H136" s="21"/>
      <c r="I136" s="21"/>
      <c r="J136" s="43">
        <f>IFERROR(DATE((LEFT(B136,4)),MID(B136,5,2),RIGHT(B136,2)),"")</f>
        <v>25569.1875</v>
      </c>
      <c r="K136" s="21"/>
      <c r="L136" s="49">
        <f>IF(A136="Total Hours","",IF(J136="",L135,J136))</f>
        <v>25569.1875</v>
      </c>
      <c r="M136" s="50">
        <f>A136</f>
      </c>
      <c r="N136" s="17">
        <f>IF(C136="",IF(U136="",C136,""),C136)</f>
        <v>25569.1875</v>
      </c>
      <c r="O136" s="17">
        <f>IF(D136="",IF(U136="",D136,""),D136)</f>
        <v>25569.1875</v>
      </c>
      <c r="P136" s="17">
        <f>IFERROR(IF(N136&gt;O136,G136,O136-N136),"")</f>
        <v>25569.1875</v>
      </c>
      <c r="Q136" s="17">
        <f>IF(U136="",TIME(0,30,0),"")</f>
        <v>25569.1875</v>
      </c>
      <c r="R136" s="17">
        <f>IFERROR(IF(OR(IFERROR((P136-Q136)&lt;0,""),P136="Missing OUT"),"ATTENTION",P136-Q136),"")</f>
        <v>25569.1875</v>
      </c>
      <c r="S136" s="17">
        <f>TIME(8,0,0)</f>
        <v>25569.1875</v>
      </c>
      <c r="T136" s="17">
        <f>IFERROR(IF(R136="ATTENTION",TIME(8,0,0),IF(S136&gt;R136,S136-R136,R136-S136)),"")</f>
        <v>25569.1875</v>
      </c>
      <c r="U136" s="18">
        <f>IFERROR(VLOOKUP(L136,Calendar!$A$2:$C$261,3,0),"")</f>
      </c>
      <c r="V136" s="19">
        <f>IF(AND(LEN(C136)&gt;0,LEN(D136)=0),"NO CHECK-OUT","")</f>
      </c>
      <c r="W136" s="20">
        <f>IFERROR(IF(R136="",W135,IF(R136="ATTENTION",W135-S136,IF(S136&gt;R136,W135-T136,W135+T136))),"")</f>
        <v>25569.1875</v>
      </c>
    </row>
    <row x14ac:dyDescent="0.25" r="137" customHeight="1" ht="17.25">
      <c r="A137" s="21"/>
      <c r="B137" s="24"/>
      <c r="C137" s="35"/>
      <c r="D137" s="35"/>
      <c r="E137" s="37"/>
      <c r="F137" s="37"/>
      <c r="G137" s="21"/>
      <c r="H137" s="21"/>
      <c r="I137" s="21"/>
      <c r="J137" s="43">
        <f>IFERROR(DATE((LEFT(B137,4)),MID(B137,5,2),RIGHT(B137,2)),"")</f>
        <v>25569.1875</v>
      </c>
      <c r="K137" s="21"/>
      <c r="L137" s="49">
        <f>IF(A137="Total Hours","",IF(J137="",L136,J137))</f>
        <v>25569.1875</v>
      </c>
      <c r="M137" s="50">
        <f>A137</f>
      </c>
      <c r="N137" s="17">
        <f>IF(C137="",IF(U137="",C137,""),C137)</f>
        <v>25569.1875</v>
      </c>
      <c r="O137" s="17">
        <f>IF(D137="",IF(U137="",D137,""),D137)</f>
        <v>25569.1875</v>
      </c>
      <c r="P137" s="17">
        <f>IFERROR(IF(N137&gt;O137,G137,O137-N137),"")</f>
        <v>25569.1875</v>
      </c>
      <c r="Q137" s="17">
        <f>IF(U137="",TIME(0,30,0),"")</f>
        <v>25569.1875</v>
      </c>
      <c r="R137" s="17">
        <f>IFERROR(IF(OR(IFERROR((P137-Q137)&lt;0,""),P137="Missing OUT"),"ATTENTION",P137-Q137),"")</f>
        <v>25569.1875</v>
      </c>
      <c r="S137" s="17">
        <f>TIME(8,0,0)</f>
        <v>25569.1875</v>
      </c>
      <c r="T137" s="17">
        <f>IFERROR(IF(R137="ATTENTION",TIME(8,0,0),IF(S137&gt;R137,S137-R137,R137-S137)),"")</f>
        <v>25569.1875</v>
      </c>
      <c r="U137" s="18">
        <f>IFERROR(VLOOKUP(L137,Calendar!$A$2:$C$261,3,0),"")</f>
      </c>
      <c r="V137" s="19">
        <f>IF(AND(LEN(C137)&gt;0,LEN(D137)=0),"NO CHECK-OUT","")</f>
      </c>
      <c r="W137" s="20">
        <f>IFERROR(IF(R137="",W136,IF(R137="ATTENTION",W136-S137,IF(S137&gt;R137,W136-T137,W136+T137))),"")</f>
        <v>25569.1875</v>
      </c>
    </row>
    <row x14ac:dyDescent="0.25" r="138" customHeight="1" ht="17.25">
      <c r="A138" s="21"/>
      <c r="B138" s="24"/>
      <c r="C138" s="35"/>
      <c r="D138" s="35"/>
      <c r="E138" s="37"/>
      <c r="F138" s="37"/>
      <c r="G138" s="21"/>
      <c r="H138" s="21"/>
      <c r="I138" s="21"/>
      <c r="J138" s="43">
        <f>IFERROR(DATE((LEFT(B138,4)),MID(B138,5,2),RIGHT(B138,2)),"")</f>
        <v>25569.1875</v>
      </c>
      <c r="K138" s="21"/>
      <c r="L138" s="49">
        <f>IF(A138="Total Hours","",IF(J138="",L137,J138))</f>
        <v>25569.1875</v>
      </c>
      <c r="M138" s="50">
        <f>A138</f>
      </c>
      <c r="N138" s="17">
        <f>IF(C138="",IF(U138="",C138,""),C138)</f>
        <v>25569.1875</v>
      </c>
      <c r="O138" s="17">
        <f>IF(D138="",IF(U138="",D138,""),D138)</f>
        <v>25569.1875</v>
      </c>
      <c r="P138" s="17">
        <f>IFERROR(IF(N138&gt;O138,G138,O138-N138),"")</f>
        <v>25569.1875</v>
      </c>
      <c r="Q138" s="17">
        <f>IF(U138="",TIME(0,30,0),"")</f>
        <v>25569.1875</v>
      </c>
      <c r="R138" s="17">
        <f>IFERROR(IF(OR(IFERROR((P138-Q138)&lt;0,""),P138="Missing OUT"),"ATTENTION",P138-Q138),"")</f>
        <v>25569.1875</v>
      </c>
      <c r="S138" s="17">
        <f>TIME(8,0,0)</f>
        <v>25569.1875</v>
      </c>
      <c r="T138" s="17">
        <f>IFERROR(IF(R138="ATTENTION",TIME(8,0,0),IF(S138&gt;R138,S138-R138,R138-S138)),"")</f>
        <v>25569.1875</v>
      </c>
      <c r="U138" s="18">
        <f>IFERROR(VLOOKUP(L138,Calendar!$A$2:$C$261,3,0),"")</f>
      </c>
      <c r="V138" s="19">
        <f>IF(AND(LEN(C138)&gt;0,LEN(D138)=0),"NO CHECK-OUT","")</f>
      </c>
      <c r="W138" s="20">
        <f>IFERROR(IF(R138="",W137,IF(R138="ATTENTION",W137-S138,IF(S138&gt;R138,W137-T138,W137+T138))),"")</f>
        <v>25569.1875</v>
      </c>
    </row>
    <row x14ac:dyDescent="0.25" r="139" customHeight="1" ht="17.25">
      <c r="A139" s="21"/>
      <c r="B139" s="24"/>
      <c r="C139" s="35"/>
      <c r="D139" s="35"/>
      <c r="E139" s="37"/>
      <c r="F139" s="37"/>
      <c r="G139" s="21"/>
      <c r="H139" s="21"/>
      <c r="I139" s="21"/>
      <c r="J139" s="43">
        <f>IFERROR(DATE((LEFT(B139,4)),MID(B139,5,2),RIGHT(B139,2)),"")</f>
        <v>25569.1875</v>
      </c>
      <c r="K139" s="21"/>
      <c r="L139" s="49">
        <f>IF(A139="Total Hours","",IF(J139="",L138,J139))</f>
        <v>25569.1875</v>
      </c>
      <c r="M139" s="50">
        <f>A139</f>
      </c>
      <c r="N139" s="17">
        <f>IF(C139="",IF(U139="",C139,""),C139)</f>
        <v>25569.1875</v>
      </c>
      <c r="O139" s="17">
        <f>IF(D139="",IF(U139="",D139,""),D139)</f>
        <v>25569.1875</v>
      </c>
      <c r="P139" s="17">
        <f>IFERROR(IF(N139&gt;O139,G139,O139-N139),"")</f>
        <v>25569.1875</v>
      </c>
      <c r="Q139" s="17">
        <f>IF(U139="",TIME(0,30,0),"")</f>
        <v>25569.1875</v>
      </c>
      <c r="R139" s="17">
        <f>IFERROR(IF(OR(IFERROR((P139-Q139)&lt;0,""),P139="Missing OUT"),"ATTENTION",P139-Q139),"")</f>
        <v>25569.1875</v>
      </c>
      <c r="S139" s="17">
        <f>TIME(8,0,0)</f>
        <v>25569.1875</v>
      </c>
      <c r="T139" s="17">
        <f>IFERROR(IF(R139="ATTENTION",TIME(8,0,0),IF(S139&gt;R139,S139-R139,R139-S139)),"")</f>
        <v>25569.1875</v>
      </c>
      <c r="U139" s="18">
        <f>IFERROR(VLOOKUP(L139,Calendar!$A$2:$C$261,3,0),"")</f>
      </c>
      <c r="V139" s="19">
        <f>IF(AND(LEN(C139)&gt;0,LEN(D139)=0),"NO CHECK-OUT","")</f>
      </c>
      <c r="W139" s="20">
        <f>IFERROR(IF(R139="",W138,IF(R139="ATTENTION",W138-S139,IF(S139&gt;R139,W138-T139,W138+T139))),"")</f>
        <v>25569.1875</v>
      </c>
    </row>
    <row x14ac:dyDescent="0.25" r="140" customHeight="1" ht="17.25">
      <c r="A140" s="21"/>
      <c r="B140" s="24"/>
      <c r="C140" s="35"/>
      <c r="D140" s="35"/>
      <c r="E140" s="37"/>
      <c r="F140" s="37"/>
      <c r="G140" s="21"/>
      <c r="H140" s="21"/>
      <c r="I140" s="21"/>
      <c r="J140" s="43">
        <f>IFERROR(DATE((LEFT(B140,4)),MID(B140,5,2),RIGHT(B140,2)),"")</f>
        <v>25569.1875</v>
      </c>
      <c r="K140" s="21"/>
      <c r="L140" s="49">
        <f>IF(A140="Total Hours","",IF(J140="",L139,J140))</f>
        <v>25569.1875</v>
      </c>
      <c r="M140" s="50">
        <f>A140</f>
      </c>
      <c r="N140" s="17">
        <f>IF(C140="",IF(U140="",C140,""),C140)</f>
        <v>25569.1875</v>
      </c>
      <c r="O140" s="17">
        <f>IF(D140="",IF(U140="",D140,""),D140)</f>
        <v>25569.1875</v>
      </c>
      <c r="P140" s="17">
        <f>IFERROR(IF(N140&gt;O140,G140,O140-N140),"")</f>
        <v>25569.1875</v>
      </c>
      <c r="Q140" s="17">
        <f>IF(U140="",TIME(0,30,0),"")</f>
        <v>25569.1875</v>
      </c>
      <c r="R140" s="17">
        <f>IFERROR(IF(OR(IFERROR((P140-Q140)&lt;0,""),P140="Missing OUT"),"ATTENTION",P140-Q140),"")</f>
        <v>25569.1875</v>
      </c>
      <c r="S140" s="17">
        <f>TIME(8,0,0)</f>
        <v>25569.1875</v>
      </c>
      <c r="T140" s="17">
        <f>IFERROR(IF(R140="ATTENTION",TIME(8,0,0),IF(S140&gt;R140,S140-R140,R140-S140)),"")</f>
        <v>25569.1875</v>
      </c>
      <c r="U140" s="18">
        <f>IFERROR(VLOOKUP(L140,Calendar!$A$2:$C$261,3,0),"")</f>
      </c>
      <c r="V140" s="19">
        <f>IF(AND(LEN(C140)&gt;0,LEN(D140)=0),"NO CHECK-OUT","")</f>
      </c>
      <c r="W140" s="20">
        <f>IFERROR(IF(R140="",W139,IF(R140="ATTENTION",W139-S140,IF(S140&gt;R140,W139-T140,W139+T140))),"")</f>
        <v>25569.1875</v>
      </c>
    </row>
    <row x14ac:dyDescent="0.25" r="141" customHeight="1" ht="17.25">
      <c r="A141" s="21"/>
      <c r="B141" s="24"/>
      <c r="C141" s="35"/>
      <c r="D141" s="35"/>
      <c r="E141" s="37"/>
      <c r="F141" s="37"/>
      <c r="G141" s="21"/>
      <c r="H141" s="21"/>
      <c r="I141" s="21"/>
      <c r="J141" s="43">
        <f>IFERROR(DATE((LEFT(B141,4)),MID(B141,5,2),RIGHT(B141,2)),"")</f>
        <v>25569.1875</v>
      </c>
      <c r="K141" s="21"/>
      <c r="L141" s="49">
        <f>IF(A141="Total Hours","",IF(J141="",L140,J141))</f>
        <v>25569.1875</v>
      </c>
      <c r="M141" s="50">
        <f>A141</f>
      </c>
      <c r="N141" s="17">
        <f>IF(C141="",IF(U141="",C141,""),C141)</f>
        <v>25569.1875</v>
      </c>
      <c r="O141" s="17">
        <f>IF(D141="",IF(U141="",D141,""),D141)</f>
        <v>25569.1875</v>
      </c>
      <c r="P141" s="17">
        <f>IFERROR(IF(N141&gt;O141,G141,O141-N141),"")</f>
        <v>25569.1875</v>
      </c>
      <c r="Q141" s="17">
        <f>IF(U141="",TIME(0,30,0),"")</f>
        <v>25569.1875</v>
      </c>
      <c r="R141" s="17">
        <f>IFERROR(IF(OR(IFERROR((P141-Q141)&lt;0,""),P141="Missing OUT"),"ATTENTION",P141-Q141),"")</f>
        <v>25569.1875</v>
      </c>
      <c r="S141" s="17">
        <f>TIME(8,0,0)</f>
        <v>25569.1875</v>
      </c>
      <c r="T141" s="17">
        <f>IFERROR(IF(R141="ATTENTION",TIME(8,0,0),IF(S141&gt;R141,S141-R141,R141-S141)),"")</f>
        <v>25569.1875</v>
      </c>
      <c r="U141" s="18">
        <f>IFERROR(VLOOKUP(L141,Calendar!$A$2:$C$261,3,0),"")</f>
      </c>
      <c r="V141" s="19">
        <f>IF(AND(LEN(C141)&gt;0,LEN(D141)=0),"NO CHECK-OUT","")</f>
      </c>
      <c r="W141" s="20">
        <f>IFERROR(IF(R141="",W140,IF(R141="ATTENTION",W140-S141,IF(S141&gt;R141,W140-T141,W140+T141))),"")</f>
        <v>25569.1875</v>
      </c>
    </row>
    <row x14ac:dyDescent="0.25" r="142" customHeight="1" ht="17.25">
      <c r="A142" s="21"/>
      <c r="B142" s="24"/>
      <c r="C142" s="35"/>
      <c r="D142" s="35"/>
      <c r="E142" s="37"/>
      <c r="F142" s="37"/>
      <c r="G142" s="21"/>
      <c r="H142" s="21"/>
      <c r="I142" s="21"/>
      <c r="J142" s="43">
        <f>IFERROR(DATE((LEFT(B142,4)),MID(B142,5,2),RIGHT(B142,2)),"")</f>
        <v>25569.1875</v>
      </c>
      <c r="K142" s="21"/>
      <c r="L142" s="49">
        <f>IF(A142="Total Hours","",IF(J142="",L141,J142))</f>
        <v>25569.1875</v>
      </c>
      <c r="M142" s="50">
        <f>A142</f>
      </c>
      <c r="N142" s="17">
        <f>IF(C142="",IF(U142="",C142,""),C142)</f>
        <v>25569.1875</v>
      </c>
      <c r="O142" s="17">
        <f>IF(D142="",IF(U142="",D142,""),D142)</f>
        <v>25569.1875</v>
      </c>
      <c r="P142" s="17">
        <f>IFERROR(IF(N142&gt;O142,G142,O142-N142),"")</f>
        <v>25569.1875</v>
      </c>
      <c r="Q142" s="17">
        <f>IF(U142="",TIME(0,30,0),"")</f>
        <v>25569.1875</v>
      </c>
      <c r="R142" s="17">
        <f>IFERROR(IF(OR(IFERROR((P142-Q142)&lt;0,""),P142="Missing OUT"),"ATTENTION",P142-Q142),"")</f>
        <v>25569.1875</v>
      </c>
      <c r="S142" s="17">
        <f>TIME(8,0,0)</f>
        <v>25569.1875</v>
      </c>
      <c r="T142" s="17">
        <f>IFERROR(IF(R142="ATTENTION",TIME(8,0,0),IF(S142&gt;R142,S142-R142,R142-S142)),"")</f>
        <v>25569.1875</v>
      </c>
      <c r="U142" s="18">
        <f>IFERROR(VLOOKUP(L142,Calendar!$A$2:$C$261,3,0),"")</f>
      </c>
      <c r="V142" s="19">
        <f>IF(AND(LEN(C142)&gt;0,LEN(D142)=0),"NO CHECK-OUT","")</f>
      </c>
      <c r="W142" s="20">
        <f>IFERROR(IF(R142="",W141,IF(R142="ATTENTION",W141-S142,IF(S142&gt;R142,W141-T142,W141+T142))),"")</f>
        <v>25569.1875</v>
      </c>
    </row>
    <row x14ac:dyDescent="0.25" r="143" customHeight="1" ht="17.25">
      <c r="A143" s="21"/>
      <c r="B143" s="24"/>
      <c r="C143" s="35"/>
      <c r="D143" s="35"/>
      <c r="E143" s="37"/>
      <c r="F143" s="37"/>
      <c r="G143" s="21"/>
      <c r="H143" s="21"/>
      <c r="I143" s="21"/>
      <c r="J143" s="43">
        <f>IFERROR(DATE((LEFT(B143,4)),MID(B143,5,2),RIGHT(B143,2)),"")</f>
        <v>25569.1875</v>
      </c>
      <c r="K143" s="21"/>
      <c r="L143" s="49">
        <f>IF(A143="Total Hours","",IF(J143="",L142,J143))</f>
        <v>25569.1875</v>
      </c>
      <c r="M143" s="50">
        <f>A143</f>
      </c>
      <c r="N143" s="17">
        <f>IF(C143="",IF(U143="",C143,""),C143)</f>
        <v>25569.1875</v>
      </c>
      <c r="O143" s="17">
        <f>IF(D143="",IF(U143="",D143,""),D143)</f>
        <v>25569.1875</v>
      </c>
      <c r="P143" s="17">
        <f>IFERROR(IF(N143&gt;O143,G143,O143-N143),"")</f>
        <v>25569.1875</v>
      </c>
      <c r="Q143" s="17">
        <f>IF(U143="",TIME(0,30,0),"")</f>
        <v>25569.1875</v>
      </c>
      <c r="R143" s="17">
        <f>IFERROR(IF(OR(IFERROR((P143-Q143)&lt;0,""),P143="Missing OUT"),"ATTENTION",P143-Q143),"")</f>
        <v>25569.1875</v>
      </c>
      <c r="S143" s="17">
        <f>TIME(8,0,0)</f>
        <v>25569.1875</v>
      </c>
      <c r="T143" s="17">
        <f>IFERROR(IF(R143="ATTENTION",TIME(8,0,0),IF(S143&gt;R143,S143-R143,R143-S143)),"")</f>
        <v>25569.1875</v>
      </c>
      <c r="U143" s="18">
        <f>IFERROR(VLOOKUP(L143,Calendar!$A$2:$C$261,3,0),"")</f>
      </c>
      <c r="V143" s="19">
        <f>IF(AND(LEN(C143)&gt;0,LEN(D143)=0),"NO CHECK-OUT","")</f>
      </c>
      <c r="W143" s="20">
        <f>IFERROR(IF(R143="",W142,IF(R143="ATTENTION",W142-S143,IF(S143&gt;R143,W142-T143,W142+T143))),"")</f>
        <v>25569.1875</v>
      </c>
    </row>
    <row x14ac:dyDescent="0.25" r="144" customHeight="1" ht="17.25">
      <c r="A144" s="21"/>
      <c r="B144" s="24"/>
      <c r="C144" s="35"/>
      <c r="D144" s="35"/>
      <c r="E144" s="37"/>
      <c r="F144" s="37"/>
      <c r="G144" s="21"/>
      <c r="H144" s="21"/>
      <c r="I144" s="21"/>
      <c r="J144" s="43">
        <f>IFERROR(DATE((LEFT(B144,4)),MID(B144,5,2),RIGHT(B144,2)),"")</f>
        <v>25569.1875</v>
      </c>
      <c r="K144" s="21"/>
      <c r="L144" s="49">
        <f>IF(A144="Total Hours","",IF(J144="",L143,J144))</f>
        <v>25569.1875</v>
      </c>
      <c r="M144" s="50">
        <f>A144</f>
      </c>
      <c r="N144" s="17">
        <f>IF(C144="",IF(U144="",C144,""),C144)</f>
        <v>25569.1875</v>
      </c>
      <c r="O144" s="17">
        <f>IF(D144="",IF(U144="",D144,""),D144)</f>
        <v>25569.1875</v>
      </c>
      <c r="P144" s="17">
        <f>IFERROR(IF(N144&gt;O144,G144,O144-N144),"")</f>
        <v>25569.1875</v>
      </c>
      <c r="Q144" s="17">
        <f>IF(U144="",TIME(0,30,0),"")</f>
        <v>25569.1875</v>
      </c>
      <c r="R144" s="17">
        <f>IFERROR(IF(OR(IFERROR((P144-Q144)&lt;0,""),P144="Missing OUT"),"ATTENTION",P144-Q144),"")</f>
        <v>25569.1875</v>
      </c>
      <c r="S144" s="17">
        <f>TIME(8,0,0)</f>
        <v>25569.1875</v>
      </c>
      <c r="T144" s="17">
        <f>IFERROR(IF(R144="ATTENTION",TIME(8,0,0),IF(S144&gt;R144,S144-R144,R144-S144)),"")</f>
        <v>25569.1875</v>
      </c>
      <c r="U144" s="18">
        <f>IFERROR(VLOOKUP(L144,Calendar!$A$2:$C$261,3,0),"")</f>
      </c>
      <c r="V144" s="19">
        <f>IF(AND(LEN(C144)&gt;0,LEN(D144)=0),"NO CHECK-OUT","")</f>
      </c>
      <c r="W144" s="20">
        <f>IFERROR(IF(R144="",W143,IF(R144="ATTENTION",W143-S144,IF(S144&gt;R144,W143-T144,W143+T144))),"")</f>
        <v>25569.1875</v>
      </c>
    </row>
    <row x14ac:dyDescent="0.25" r="145" customHeight="1" ht="17.25">
      <c r="A145" s="21"/>
      <c r="B145" s="24"/>
      <c r="C145" s="35"/>
      <c r="D145" s="35"/>
      <c r="E145" s="37"/>
      <c r="F145" s="37"/>
      <c r="G145" s="21"/>
      <c r="H145" s="21"/>
      <c r="I145" s="21"/>
      <c r="J145" s="43">
        <f>IFERROR(DATE((LEFT(B145,4)),MID(B145,5,2),RIGHT(B145,2)),"")</f>
        <v>25569.1875</v>
      </c>
      <c r="K145" s="21"/>
      <c r="L145" s="49">
        <f>IF(A145="Total Hours","",IF(J145="",L144,J145))</f>
        <v>25569.1875</v>
      </c>
      <c r="M145" s="50">
        <f>A145</f>
      </c>
      <c r="N145" s="17">
        <f>IF(C145="",IF(U145="",C145,""),C145)</f>
        <v>25569.1875</v>
      </c>
      <c r="O145" s="17">
        <f>IF(D145="",IF(U145="",D145,""),D145)</f>
        <v>25569.1875</v>
      </c>
      <c r="P145" s="17">
        <f>IFERROR(IF(N145&gt;O145,G145,O145-N145),"")</f>
        <v>25569.1875</v>
      </c>
      <c r="Q145" s="17">
        <f>IF(U145="",TIME(0,30,0),"")</f>
        <v>25569.1875</v>
      </c>
      <c r="R145" s="17">
        <f>IFERROR(IF(OR(IFERROR((P145-Q145)&lt;0,""),P145="Missing OUT"),"ATTENTION",P145-Q145),"")</f>
        <v>25569.1875</v>
      </c>
      <c r="S145" s="17">
        <f>TIME(8,0,0)</f>
        <v>25569.1875</v>
      </c>
      <c r="T145" s="17">
        <f>IFERROR(IF(R145="ATTENTION",TIME(8,0,0),IF(S145&gt;R145,S145-R145,R145-S145)),"")</f>
        <v>25569.1875</v>
      </c>
      <c r="U145" s="18">
        <f>IFERROR(VLOOKUP(L145,Calendar!$A$2:$C$261,3,0),"")</f>
      </c>
      <c r="V145" s="19">
        <f>IF(AND(LEN(C145)&gt;0,LEN(D145)=0),"NO CHECK-OUT","")</f>
      </c>
      <c r="W145" s="20">
        <f>IFERROR(IF(R145="",W144,IF(R145="ATTENTION",W144-S145,IF(S145&gt;R145,W144-T145,W144+T145))),"")</f>
        <v>25569.1875</v>
      </c>
    </row>
    <row x14ac:dyDescent="0.25" r="146" customHeight="1" ht="17.25">
      <c r="A146" s="21"/>
      <c r="B146" s="24"/>
      <c r="C146" s="35"/>
      <c r="D146" s="35"/>
      <c r="E146" s="37"/>
      <c r="F146" s="37"/>
      <c r="G146" s="21"/>
      <c r="H146" s="21"/>
      <c r="I146" s="21"/>
      <c r="J146" s="43">
        <f>IFERROR(DATE((LEFT(B146,4)),MID(B146,5,2),RIGHT(B146,2)),"")</f>
        <v>25569.1875</v>
      </c>
      <c r="K146" s="21"/>
      <c r="L146" s="49">
        <f>IF(A146="Total Hours","",IF(J146="",L145,J146))</f>
        <v>25569.1875</v>
      </c>
      <c r="M146" s="50">
        <f>A146</f>
      </c>
      <c r="N146" s="17">
        <f>IF(C146="",IF(U146="",C146,""),C146)</f>
        <v>25569.1875</v>
      </c>
      <c r="O146" s="17">
        <f>IF(D146="",IF(U146="",D146,""),D146)</f>
        <v>25569.1875</v>
      </c>
      <c r="P146" s="17">
        <f>IFERROR(IF(N146&gt;O146,G146,O146-N146),"")</f>
        <v>25569.1875</v>
      </c>
      <c r="Q146" s="17">
        <f>IF(U146="",TIME(0,30,0),"")</f>
        <v>25569.1875</v>
      </c>
      <c r="R146" s="17">
        <f>IFERROR(IF(OR(IFERROR((P146-Q146)&lt;0,""),P146="Missing OUT"),"ATTENTION",P146-Q146),"")</f>
        <v>25569.1875</v>
      </c>
      <c r="S146" s="17">
        <f>TIME(8,0,0)</f>
        <v>25569.1875</v>
      </c>
      <c r="T146" s="17">
        <f>IFERROR(IF(R146="ATTENTION",TIME(8,0,0),IF(S146&gt;R146,S146-R146,R146-S146)),"")</f>
        <v>25569.1875</v>
      </c>
      <c r="U146" s="18">
        <f>IFERROR(VLOOKUP(L146,Calendar!$A$2:$C$261,3,0),"")</f>
      </c>
      <c r="V146" s="19">
        <f>IF(AND(LEN(C146)&gt;0,LEN(D146)=0),"NO CHECK-OUT","")</f>
      </c>
      <c r="W146" s="20">
        <f>IFERROR(IF(R146="",W145,IF(R146="ATTENTION",W145-S146,IF(S146&gt;R146,W145-T146,W145+T146))),"")</f>
        <v>25569.1875</v>
      </c>
    </row>
    <row x14ac:dyDescent="0.25" r="147" customHeight="1" ht="17.25">
      <c r="A147" s="21"/>
      <c r="B147" s="24"/>
      <c r="C147" s="35"/>
      <c r="D147" s="35"/>
      <c r="E147" s="37"/>
      <c r="F147" s="37"/>
      <c r="G147" s="21"/>
      <c r="H147" s="21"/>
      <c r="I147" s="21"/>
      <c r="J147" s="43">
        <f>IFERROR(DATE((LEFT(B147,4)),MID(B147,5,2),RIGHT(B147,2)),"")</f>
        <v>25569.1875</v>
      </c>
      <c r="K147" s="21"/>
      <c r="L147" s="49">
        <f>IF(A147="Total Hours","",IF(J147="",L146,J147))</f>
        <v>25569.1875</v>
      </c>
      <c r="M147" s="50">
        <f>A147</f>
      </c>
      <c r="N147" s="17">
        <f>IF(C147="",IF(U147="",C147,""),C147)</f>
        <v>25569.1875</v>
      </c>
      <c r="O147" s="17">
        <f>IF(D147="",IF(U147="",D147,""),D147)</f>
        <v>25569.1875</v>
      </c>
      <c r="P147" s="17">
        <f>IFERROR(IF(N147&gt;O147,G147,O147-N147),"")</f>
        <v>25569.1875</v>
      </c>
      <c r="Q147" s="17">
        <f>IF(U147="",TIME(0,30,0),"")</f>
        <v>25569.1875</v>
      </c>
      <c r="R147" s="17">
        <f>IFERROR(IF(OR(IFERROR((P147-Q147)&lt;0,""),P147="Missing OUT"),"ATTENTION",P147-Q147),"")</f>
        <v>25569.1875</v>
      </c>
      <c r="S147" s="17">
        <f>TIME(8,0,0)</f>
        <v>25569.1875</v>
      </c>
      <c r="T147" s="17">
        <f>IFERROR(IF(R147="ATTENTION",TIME(8,0,0),IF(S147&gt;R147,S147-R147,R147-S147)),"")</f>
        <v>25569.1875</v>
      </c>
      <c r="U147" s="18">
        <f>IFERROR(VLOOKUP(L147,Calendar!$A$2:$C$261,3,0),"")</f>
      </c>
      <c r="V147" s="19">
        <f>IF(AND(LEN(C147)&gt;0,LEN(D147)=0),"NO CHECK-OUT","")</f>
      </c>
      <c r="W147" s="20">
        <f>IFERROR(IF(R147="",W146,IF(R147="ATTENTION",W146-S147,IF(S147&gt;R147,W146-T147,W146+T147))),"")</f>
        <v>25569.1875</v>
      </c>
    </row>
    <row x14ac:dyDescent="0.25" r="148" customHeight="1" ht="17.25">
      <c r="A148" s="21"/>
      <c r="B148" s="24"/>
      <c r="C148" s="35"/>
      <c r="D148" s="35"/>
      <c r="E148" s="37"/>
      <c r="F148" s="37"/>
      <c r="G148" s="21"/>
      <c r="H148" s="21"/>
      <c r="I148" s="21"/>
      <c r="J148" s="43">
        <f>IFERROR(DATE((LEFT(B148,4)),MID(B148,5,2),RIGHT(B148,2)),"")</f>
        <v>25569.1875</v>
      </c>
      <c r="K148" s="21"/>
      <c r="L148" s="49">
        <f>IF(A148="Total Hours","",IF(J148="",L147,J148))</f>
        <v>25569.1875</v>
      </c>
      <c r="M148" s="50">
        <f>A148</f>
      </c>
      <c r="N148" s="17">
        <f>IF(C148="",IF(U148="",C148,""),C148)</f>
        <v>25569.1875</v>
      </c>
      <c r="O148" s="17">
        <f>IF(D148="",IF(U148="",D148,""),D148)</f>
        <v>25569.1875</v>
      </c>
      <c r="P148" s="17">
        <f>IFERROR(IF(N148&gt;O148,G148,O148-N148),"")</f>
        <v>25569.1875</v>
      </c>
      <c r="Q148" s="17">
        <f>IF(U148="",TIME(0,30,0),"")</f>
        <v>25569.1875</v>
      </c>
      <c r="R148" s="17">
        <f>IFERROR(IF(OR(IFERROR((P148-Q148)&lt;0,""),P148="Missing OUT"),"ATTENTION",P148-Q148),"")</f>
        <v>25569.1875</v>
      </c>
      <c r="S148" s="17">
        <f>TIME(8,0,0)</f>
        <v>25569.1875</v>
      </c>
      <c r="T148" s="17">
        <f>IFERROR(IF(R148="ATTENTION",TIME(8,0,0),IF(S148&gt;R148,S148-R148,R148-S148)),"")</f>
        <v>25569.1875</v>
      </c>
      <c r="U148" s="18">
        <f>IFERROR(VLOOKUP(L148,Calendar!$A$2:$C$261,3,0),"")</f>
      </c>
      <c r="V148" s="19">
        <f>IF(AND(LEN(C148)&gt;0,LEN(D148)=0),"NO CHECK-OUT","")</f>
      </c>
      <c r="W148" s="20">
        <f>IFERROR(IF(R148="",W147,IF(R148="ATTENTION",W147-S148,IF(S148&gt;R148,W147-T148,W147+T148))),"")</f>
        <v>25569.1875</v>
      </c>
    </row>
    <row x14ac:dyDescent="0.25" r="149" customHeight="1" ht="17.25">
      <c r="A149" s="21"/>
      <c r="B149" s="24"/>
      <c r="C149" s="35"/>
      <c r="D149" s="35"/>
      <c r="E149" s="37"/>
      <c r="F149" s="37"/>
      <c r="G149" s="21"/>
      <c r="H149" s="21"/>
      <c r="I149" s="21"/>
      <c r="J149" s="43">
        <f>IFERROR(DATE((LEFT(B149,4)),MID(B149,5,2),RIGHT(B149,2)),"")</f>
        <v>25569.1875</v>
      </c>
      <c r="K149" s="21"/>
      <c r="L149" s="49">
        <f>IF(A149="Total Hours","",IF(J149="",L148,J149))</f>
        <v>25569.1875</v>
      </c>
      <c r="M149" s="50">
        <f>A149</f>
      </c>
      <c r="N149" s="17">
        <f>IF(C149="",IF(U149="",C149,""),C149)</f>
        <v>25569.1875</v>
      </c>
      <c r="O149" s="17">
        <f>IF(D149="",IF(U149="",D149,""),D149)</f>
        <v>25569.1875</v>
      </c>
      <c r="P149" s="17">
        <f>IFERROR(IF(N149&gt;O149,G149,O149-N149),"")</f>
        <v>25569.1875</v>
      </c>
      <c r="Q149" s="17">
        <f>IF(U149="",TIME(0,30,0),"")</f>
        <v>25569.1875</v>
      </c>
      <c r="R149" s="17">
        <f>IFERROR(IF(OR(IFERROR((P149-Q149)&lt;0,""),P149="Missing OUT"),"ATTENTION",P149-Q149),"")</f>
        <v>25569.1875</v>
      </c>
      <c r="S149" s="17">
        <f>TIME(8,0,0)</f>
        <v>25569.1875</v>
      </c>
      <c r="T149" s="17">
        <f>IFERROR(IF(R149="ATTENTION",TIME(8,0,0),IF(S149&gt;R149,S149-R149,R149-S149)),"")</f>
        <v>25569.1875</v>
      </c>
      <c r="U149" s="18">
        <f>IFERROR(VLOOKUP(L149,Calendar!$A$2:$C$261,3,0),"")</f>
      </c>
      <c r="V149" s="19">
        <f>IF(AND(LEN(C149)&gt;0,LEN(D149)=0),"NO CHECK-OUT","")</f>
      </c>
      <c r="W149" s="20">
        <f>IFERROR(IF(R149="",W148,IF(R149="ATTENTION",W148-S149,IF(S149&gt;R149,W148-T149,W148+T149))),"")</f>
        <v>25569.1875</v>
      </c>
    </row>
    <row x14ac:dyDescent="0.25" r="150" customHeight="1" ht="17.25">
      <c r="A150" s="21"/>
      <c r="B150" s="24"/>
      <c r="C150" s="35"/>
      <c r="D150" s="35"/>
      <c r="E150" s="37"/>
      <c r="F150" s="37"/>
      <c r="G150" s="21"/>
      <c r="H150" s="21"/>
      <c r="I150" s="21"/>
      <c r="J150" s="43">
        <f>IFERROR(DATE((LEFT(B150,4)),MID(B150,5,2),RIGHT(B150,2)),"")</f>
        <v>25569.1875</v>
      </c>
      <c r="K150" s="21"/>
      <c r="L150" s="49">
        <f>IF(A150="Total Hours","",IF(J150="",L149,J150))</f>
        <v>25569.1875</v>
      </c>
      <c r="M150" s="50">
        <f>A150</f>
      </c>
      <c r="N150" s="17">
        <f>IF(C150="",IF(U150="",C150,""),C150)</f>
        <v>25569.1875</v>
      </c>
      <c r="O150" s="17">
        <f>IF(D150="",IF(U150="",D150,""),D150)</f>
        <v>25569.1875</v>
      </c>
      <c r="P150" s="17">
        <f>IFERROR(IF(N150&gt;O150,G150,O150-N150),"")</f>
        <v>25569.1875</v>
      </c>
      <c r="Q150" s="17">
        <f>IF(U150="",TIME(0,30,0),"")</f>
        <v>25569.1875</v>
      </c>
      <c r="R150" s="17">
        <f>IFERROR(IF(OR(IFERROR((P150-Q150)&lt;0,""),P150="Missing OUT"),"ATTENTION",P150-Q150),"")</f>
        <v>25569.1875</v>
      </c>
      <c r="S150" s="17">
        <f>TIME(8,0,0)</f>
        <v>25569.1875</v>
      </c>
      <c r="T150" s="17">
        <f>IFERROR(IF(R150="ATTENTION",TIME(8,0,0),IF(S150&gt;R150,S150-R150,R150-S150)),"")</f>
        <v>25569.1875</v>
      </c>
      <c r="U150" s="18">
        <f>IFERROR(VLOOKUP(L150,Calendar!$A$2:$C$261,3,0),"")</f>
      </c>
      <c r="V150" s="19">
        <f>IF(AND(LEN(C150)&gt;0,LEN(D150)=0),"NO CHECK-OUT","")</f>
      </c>
      <c r="W150" s="20">
        <f>IFERROR(IF(R150="",W149,IF(R150="ATTENTION",W149-S150,IF(S150&gt;R150,W149-T150,W149+T150))),"")</f>
        <v>25569.1875</v>
      </c>
    </row>
    <row x14ac:dyDescent="0.25" r="151" customHeight="1" ht="17.25">
      <c r="A151" s="21"/>
      <c r="B151" s="24"/>
      <c r="C151" s="35"/>
      <c r="D151" s="35"/>
      <c r="E151" s="37"/>
      <c r="F151" s="37"/>
      <c r="G151" s="21"/>
      <c r="H151" s="21"/>
      <c r="I151" s="21"/>
      <c r="J151" s="43">
        <f>IFERROR(DATE((LEFT(B151,4)),MID(B151,5,2),RIGHT(B151,2)),"")</f>
        <v>25569.1875</v>
      </c>
      <c r="K151" s="21"/>
      <c r="L151" s="49">
        <f>IF(A151="Total Hours","",IF(J151="",L150,J151))</f>
        <v>25569.1875</v>
      </c>
      <c r="M151" s="50">
        <f>A151</f>
      </c>
      <c r="N151" s="17">
        <f>IF(C151="",IF(U151="",C151,""),C151)</f>
        <v>25569.1875</v>
      </c>
      <c r="O151" s="17">
        <f>IF(D151="",IF(U151="",D151,""),D151)</f>
        <v>25569.1875</v>
      </c>
      <c r="P151" s="17">
        <f>IFERROR(IF(N151&gt;O151,G151,O151-N151),"")</f>
        <v>25569.1875</v>
      </c>
      <c r="Q151" s="17">
        <f>IF(U151="",TIME(0,30,0),"")</f>
        <v>25569.1875</v>
      </c>
      <c r="R151" s="17">
        <f>IFERROR(IF(OR(IFERROR((P151-Q151)&lt;0,""),P151="Missing OUT"),"ATTENTION",P151-Q151),"")</f>
        <v>25569.1875</v>
      </c>
      <c r="S151" s="17">
        <f>TIME(8,0,0)</f>
        <v>25569.1875</v>
      </c>
      <c r="T151" s="17">
        <f>IFERROR(IF(R151="ATTENTION",TIME(8,0,0),IF(S151&gt;R151,S151-R151,R151-S151)),"")</f>
        <v>25569.1875</v>
      </c>
      <c r="U151" s="18">
        <f>IFERROR(VLOOKUP(L151,Calendar!$A$2:$C$261,3,0),"")</f>
      </c>
      <c r="V151" s="19">
        <f>IF(AND(LEN(C151)&gt;0,LEN(D151)=0),"NO CHECK-OUT","")</f>
      </c>
      <c r="W151" s="20">
        <f>IFERROR(IF(R151="",W150,IF(R151="ATTENTION",W150-S151,IF(S151&gt;R151,W150-T151,W150+T151))),"")</f>
        <v>25569.1875</v>
      </c>
    </row>
    <row x14ac:dyDescent="0.25" r="152" customHeight="1" ht="17.25">
      <c r="A152" s="21"/>
      <c r="B152" s="24"/>
      <c r="C152" s="35"/>
      <c r="D152" s="35"/>
      <c r="E152" s="37"/>
      <c r="F152" s="37"/>
      <c r="G152" s="21"/>
      <c r="H152" s="21"/>
      <c r="I152" s="21"/>
      <c r="J152" s="43">
        <f>IFERROR(DATE((LEFT(B152,4)),MID(B152,5,2),RIGHT(B152,2)),"")</f>
        <v>25569.1875</v>
      </c>
      <c r="K152" s="21"/>
      <c r="L152" s="49">
        <f>IF(A152="Total Hours","",IF(J152="",L151,J152))</f>
        <v>25569.1875</v>
      </c>
      <c r="M152" s="50">
        <f>A152</f>
      </c>
      <c r="N152" s="17">
        <f>IF(C152="",IF(U152="",C152,""),C152)</f>
        <v>25569.1875</v>
      </c>
      <c r="O152" s="17">
        <f>IF(D152="",IF(U152="",D152,""),D152)</f>
        <v>25569.1875</v>
      </c>
      <c r="P152" s="17">
        <f>IFERROR(IF(N152&gt;O152,G152,O152-N152),"")</f>
        <v>25569.1875</v>
      </c>
      <c r="Q152" s="17">
        <f>IF(U152="",TIME(0,30,0),"")</f>
        <v>25569.1875</v>
      </c>
      <c r="R152" s="17">
        <f>IFERROR(IF(OR(IFERROR((P152-Q152)&lt;0,""),P152="Missing OUT"),"ATTENTION",P152-Q152),"")</f>
        <v>25569.1875</v>
      </c>
      <c r="S152" s="17">
        <f>TIME(8,0,0)</f>
        <v>25569.1875</v>
      </c>
      <c r="T152" s="17">
        <f>IFERROR(IF(R152="ATTENTION",TIME(8,0,0),IF(S152&gt;R152,S152-R152,R152-S152)),"")</f>
        <v>25569.1875</v>
      </c>
      <c r="U152" s="18">
        <f>IFERROR(VLOOKUP(L152,Calendar!$A$2:$C$261,3,0),"")</f>
      </c>
      <c r="V152" s="19">
        <f>IF(AND(LEN(C152)&gt;0,LEN(D152)=0),"NO CHECK-OUT","")</f>
      </c>
      <c r="W152" s="20">
        <f>IFERROR(IF(R152="",W151,IF(R152="ATTENTION",W151-S152,IF(S152&gt;R152,W151-T152,W151+T152))),"")</f>
        <v>25569.1875</v>
      </c>
    </row>
    <row x14ac:dyDescent="0.25" r="153" customHeight="1" ht="17.25">
      <c r="A153" s="21"/>
      <c r="B153" s="24"/>
      <c r="C153" s="35"/>
      <c r="D153" s="35"/>
      <c r="E153" s="37"/>
      <c r="F153" s="37"/>
      <c r="G153" s="21"/>
      <c r="H153" s="21"/>
      <c r="I153" s="21"/>
      <c r="J153" s="43">
        <f>IFERROR(DATE((LEFT(B153,4)),MID(B153,5,2),RIGHT(B153,2)),"")</f>
        <v>25569.1875</v>
      </c>
      <c r="K153" s="21"/>
      <c r="L153" s="49">
        <f>IF(A153="Total Hours","",IF(J153="",L152,J153))</f>
        <v>25569.1875</v>
      </c>
      <c r="M153" s="50">
        <f>A153</f>
      </c>
      <c r="N153" s="17">
        <f>IF(C153="",IF(U153="",C153,""),C153)</f>
        <v>25569.1875</v>
      </c>
      <c r="O153" s="17">
        <f>IF(D153="",IF(U153="",D153,""),D153)</f>
        <v>25569.1875</v>
      </c>
      <c r="P153" s="17">
        <f>IFERROR(IF(N153&gt;O153,G153,O153-N153),"")</f>
        <v>25569.1875</v>
      </c>
      <c r="Q153" s="17">
        <f>IF(U153="",TIME(0,30,0),"")</f>
        <v>25569.1875</v>
      </c>
      <c r="R153" s="17">
        <f>IFERROR(IF(OR(IFERROR((P153-Q153)&lt;0,""),P153="Missing OUT"),"ATTENTION",P153-Q153),"")</f>
        <v>25569.1875</v>
      </c>
      <c r="S153" s="17">
        <f>TIME(8,0,0)</f>
        <v>25569.1875</v>
      </c>
      <c r="T153" s="17">
        <f>IFERROR(IF(R153="ATTENTION",TIME(8,0,0),IF(S153&gt;R153,S153-R153,R153-S153)),"")</f>
        <v>25569.1875</v>
      </c>
      <c r="U153" s="18">
        <f>IFERROR(VLOOKUP(L153,Calendar!$A$2:$C$261,3,0),"")</f>
      </c>
      <c r="V153" s="19">
        <f>IF(AND(LEN(C153)&gt;0,LEN(D153)=0),"NO CHECK-OUT","")</f>
      </c>
      <c r="W153" s="20">
        <f>IFERROR(IF(R153="",W152,IF(R153="ATTENTION",W152-S153,IF(S153&gt;R153,W152-T153,W152+T153))),"")</f>
        <v>25569.1875</v>
      </c>
    </row>
    <row x14ac:dyDescent="0.25" r="154" customHeight="1" ht="17.25">
      <c r="A154" s="21"/>
      <c r="B154" s="24"/>
      <c r="C154" s="35"/>
      <c r="D154" s="35"/>
      <c r="E154" s="37"/>
      <c r="F154" s="37"/>
      <c r="G154" s="21"/>
      <c r="H154" s="21"/>
      <c r="I154" s="21"/>
      <c r="J154" s="43">
        <f>IFERROR(DATE((LEFT(B154,4)),MID(B154,5,2),RIGHT(B154,2)),"")</f>
        <v>25569.1875</v>
      </c>
      <c r="K154" s="21"/>
      <c r="L154" s="49">
        <f>IF(A154="Total Hours","",IF(J154="",L153,J154))</f>
        <v>25569.1875</v>
      </c>
      <c r="M154" s="50">
        <f>A154</f>
      </c>
      <c r="N154" s="17">
        <f>IF(C154="",IF(U154="",C154,""),C154)</f>
        <v>25569.1875</v>
      </c>
      <c r="O154" s="17">
        <f>IF(D154="",IF(U154="",D154,""),D154)</f>
        <v>25569.1875</v>
      </c>
      <c r="P154" s="17">
        <f>IFERROR(IF(N154&gt;O154,G154,O154-N154),"")</f>
        <v>25569.1875</v>
      </c>
      <c r="Q154" s="17">
        <f>IF(U154="",TIME(0,30,0),"")</f>
        <v>25569.1875</v>
      </c>
      <c r="R154" s="17">
        <f>IFERROR(IF(OR(IFERROR((P154-Q154)&lt;0,""),P154="Missing OUT"),"ATTENTION",P154-Q154),"")</f>
        <v>25569.1875</v>
      </c>
      <c r="S154" s="17">
        <f>TIME(8,0,0)</f>
        <v>25569.1875</v>
      </c>
      <c r="T154" s="17">
        <f>IFERROR(IF(R154="ATTENTION",TIME(8,0,0),IF(S154&gt;R154,S154-R154,R154-S154)),"")</f>
        <v>25569.1875</v>
      </c>
      <c r="U154" s="18">
        <f>IFERROR(VLOOKUP(L154,Calendar!$A$2:$C$261,3,0),"")</f>
      </c>
      <c r="V154" s="19">
        <f>IF(AND(LEN(C154)&gt;0,LEN(D154)=0),"NO CHECK-OUT","")</f>
      </c>
      <c r="W154" s="20">
        <f>IFERROR(IF(R154="",W153,IF(R154="ATTENTION",W153-S154,IF(S154&gt;R154,W153-T154,W153+T154))),"")</f>
        <v>25569.1875</v>
      </c>
    </row>
    <row x14ac:dyDescent="0.25" r="155" customHeight="1" ht="17.25">
      <c r="A155" s="21"/>
      <c r="B155" s="24"/>
      <c r="C155" s="35"/>
      <c r="D155" s="35"/>
      <c r="E155" s="37"/>
      <c r="F155" s="37"/>
      <c r="G155" s="21"/>
      <c r="H155" s="21"/>
      <c r="I155" s="21"/>
      <c r="J155" s="43">
        <f>IFERROR(DATE((LEFT(B155,4)),MID(B155,5,2),RIGHT(B155,2)),"")</f>
        <v>25569.1875</v>
      </c>
      <c r="K155" s="21"/>
      <c r="L155" s="49">
        <f>IF(A155="Total Hours","",IF(J155="",L154,J155))</f>
        <v>25569.1875</v>
      </c>
      <c r="M155" s="50">
        <f>A155</f>
      </c>
      <c r="N155" s="17">
        <f>IF(C155="",IF(U155="",C155,""),C155)</f>
        <v>25569.1875</v>
      </c>
      <c r="O155" s="17">
        <f>IF(D155="",IF(U155="",D155,""),D155)</f>
        <v>25569.1875</v>
      </c>
      <c r="P155" s="17">
        <f>IFERROR(IF(N155&gt;O155,G155,O155-N155),"")</f>
        <v>25569.1875</v>
      </c>
      <c r="Q155" s="17">
        <f>IF(U155="",TIME(0,30,0),"")</f>
        <v>25569.1875</v>
      </c>
      <c r="R155" s="17">
        <f>IFERROR(IF(OR(IFERROR((P155-Q155)&lt;0,""),P155="Missing OUT"),"ATTENTION",P155-Q155),"")</f>
        <v>25569.1875</v>
      </c>
      <c r="S155" s="17">
        <f>TIME(8,0,0)</f>
        <v>25569.1875</v>
      </c>
      <c r="T155" s="17">
        <f>IFERROR(IF(R155="ATTENTION",TIME(8,0,0),IF(S155&gt;R155,S155-R155,R155-S155)),"")</f>
        <v>25569.1875</v>
      </c>
      <c r="U155" s="18">
        <f>IFERROR(VLOOKUP(L155,Calendar!$A$2:$C$261,3,0),"")</f>
      </c>
      <c r="V155" s="19">
        <f>IF(AND(LEN(C155)&gt;0,LEN(D155)=0),"NO CHECK-OUT","")</f>
      </c>
      <c r="W155" s="20">
        <f>IFERROR(IF(R155="",W154,IF(R155="ATTENTION",W154-S155,IF(S155&gt;R155,W154-T155,W154+T155))),"")</f>
        <v>25569.1875</v>
      </c>
    </row>
    <row x14ac:dyDescent="0.25" r="156" customHeight="1" ht="17.25">
      <c r="A156" s="21"/>
      <c r="B156" s="24"/>
      <c r="C156" s="35"/>
      <c r="D156" s="35"/>
      <c r="E156" s="37"/>
      <c r="F156" s="37"/>
      <c r="G156" s="21"/>
      <c r="H156" s="21"/>
      <c r="I156" s="21"/>
      <c r="J156" s="43">
        <f>IFERROR(DATE((LEFT(B156,4)),MID(B156,5,2),RIGHT(B156,2)),"")</f>
        <v>25569.1875</v>
      </c>
      <c r="K156" s="21"/>
      <c r="L156" s="49">
        <f>IF(A156="Total Hours","",IF(J156="",L155,J156))</f>
        <v>25569.1875</v>
      </c>
      <c r="M156" s="50">
        <f>A156</f>
      </c>
      <c r="N156" s="17">
        <f>IF(C156="",IF(U156="",C156,""),C156)</f>
        <v>25569.1875</v>
      </c>
      <c r="O156" s="17">
        <f>IF(D156="",IF(U156="",D156,""),D156)</f>
        <v>25569.1875</v>
      </c>
      <c r="P156" s="17">
        <f>IFERROR(IF(N156&gt;O156,G156,O156-N156),"")</f>
        <v>25569.1875</v>
      </c>
      <c r="Q156" s="17">
        <f>IF(U156="",TIME(0,30,0),"")</f>
        <v>25569.1875</v>
      </c>
      <c r="R156" s="17">
        <f>IFERROR(IF(OR(IFERROR((P156-Q156)&lt;0,""),P156="Missing OUT"),"ATTENTION",P156-Q156),"")</f>
        <v>25569.1875</v>
      </c>
      <c r="S156" s="17">
        <f>TIME(8,0,0)</f>
        <v>25569.1875</v>
      </c>
      <c r="T156" s="17">
        <f>IFERROR(IF(R156="ATTENTION",TIME(8,0,0),IF(S156&gt;R156,S156-R156,R156-S156)),"")</f>
        <v>25569.1875</v>
      </c>
      <c r="U156" s="18">
        <f>IFERROR(VLOOKUP(L156,Calendar!$A$2:$C$261,3,0),"")</f>
      </c>
      <c r="V156" s="19">
        <f>IF(AND(LEN(C156)&gt;0,LEN(D156)=0),"NO CHECK-OUT","")</f>
      </c>
      <c r="W156" s="20">
        <f>IFERROR(IF(R156="",W155,IF(R156="ATTENTION",W155-S156,IF(S156&gt;R156,W155-T156,W155+T156))),"")</f>
        <v>25569.1875</v>
      </c>
    </row>
    <row x14ac:dyDescent="0.25" r="157" customHeight="1" ht="17.25">
      <c r="A157" s="21"/>
      <c r="B157" s="24"/>
      <c r="C157" s="35"/>
      <c r="D157" s="35"/>
      <c r="E157" s="37"/>
      <c r="F157" s="37"/>
      <c r="G157" s="21"/>
      <c r="H157" s="21"/>
      <c r="I157" s="21"/>
      <c r="J157" s="43">
        <f>IFERROR(DATE((LEFT(B157,4)),MID(B157,5,2),RIGHT(B157,2)),"")</f>
        <v>25569.1875</v>
      </c>
      <c r="K157" s="21"/>
      <c r="L157" s="49">
        <f>IF(A157="Total Hours","",IF(J157="",L156,J157))</f>
        <v>25569.1875</v>
      </c>
      <c r="M157" s="50">
        <f>A157</f>
      </c>
      <c r="N157" s="17">
        <f>IF(C157="",IF(U157="",C157,""),C157)</f>
        <v>25569.1875</v>
      </c>
      <c r="O157" s="17">
        <f>IF(D157="",IF(U157="",D157,""),D157)</f>
        <v>25569.1875</v>
      </c>
      <c r="P157" s="17">
        <f>IFERROR(IF(N157&gt;O157,G157,O157-N157),"")</f>
        <v>25569.1875</v>
      </c>
      <c r="Q157" s="17">
        <f>IF(U157="",TIME(0,30,0),"")</f>
        <v>25569.1875</v>
      </c>
      <c r="R157" s="17">
        <f>IFERROR(IF(OR(IFERROR((P157-Q157)&lt;0,""),P157="Missing OUT"),"ATTENTION",P157-Q157),"")</f>
        <v>25569.1875</v>
      </c>
      <c r="S157" s="17">
        <f>TIME(8,0,0)</f>
        <v>25569.1875</v>
      </c>
      <c r="T157" s="17">
        <f>IFERROR(IF(R157="ATTENTION",TIME(8,0,0),IF(S157&gt;R157,S157-R157,R157-S157)),"")</f>
        <v>25569.1875</v>
      </c>
      <c r="U157" s="18">
        <f>IFERROR(VLOOKUP(L157,Calendar!$A$2:$C$261,3,0),"")</f>
      </c>
      <c r="V157" s="19">
        <f>IF(AND(LEN(C157)&gt;0,LEN(D157)=0),"NO CHECK-OUT","")</f>
      </c>
      <c r="W157" s="20">
        <f>IFERROR(IF(R157="",W156,IF(R157="ATTENTION",W156-S157,IF(S157&gt;R157,W156-T157,W156+T157))),"")</f>
        <v>25569.1875</v>
      </c>
    </row>
    <row x14ac:dyDescent="0.25" r="158" customHeight="1" ht="17.25">
      <c r="A158" s="21"/>
      <c r="B158" s="24"/>
      <c r="C158" s="35"/>
      <c r="D158" s="35"/>
      <c r="E158" s="37"/>
      <c r="F158" s="37"/>
      <c r="G158" s="21"/>
      <c r="H158" s="21"/>
      <c r="I158" s="21"/>
      <c r="J158" s="43">
        <f>IFERROR(DATE((LEFT(B158,4)),MID(B158,5,2),RIGHT(B158,2)),"")</f>
        <v>25569.1875</v>
      </c>
      <c r="K158" s="21"/>
      <c r="L158" s="49">
        <f>IF(A158="Total Hours","",IF(J158="",L157,J158))</f>
        <v>25569.1875</v>
      </c>
      <c r="M158" s="50">
        <f>A158</f>
      </c>
      <c r="N158" s="17">
        <f>IF(C158="",IF(U158="",C158,""),C158)</f>
        <v>25569.1875</v>
      </c>
      <c r="O158" s="17">
        <f>IF(D158="",IF(U158="",D158,""),D158)</f>
        <v>25569.1875</v>
      </c>
      <c r="P158" s="17">
        <f>IFERROR(IF(N158&gt;O158,G158,O158-N158),"")</f>
        <v>25569.1875</v>
      </c>
      <c r="Q158" s="17">
        <f>IF(U158="",TIME(0,30,0),"")</f>
        <v>25569.1875</v>
      </c>
      <c r="R158" s="17">
        <f>IFERROR(IF(OR(IFERROR((P158-Q158)&lt;0,""),P158="Missing OUT"),"ATTENTION",P158-Q158),"")</f>
        <v>25569.1875</v>
      </c>
      <c r="S158" s="17">
        <f>TIME(8,0,0)</f>
        <v>25569.1875</v>
      </c>
      <c r="T158" s="17">
        <f>IFERROR(IF(R158="ATTENTION",TIME(8,0,0),IF(S158&gt;R158,S158-R158,R158-S158)),"")</f>
        <v>25569.1875</v>
      </c>
      <c r="U158" s="18">
        <f>IFERROR(VLOOKUP(L158,Calendar!$A$2:$C$261,3,0),"")</f>
      </c>
      <c r="V158" s="19">
        <f>IF(AND(LEN(C158)&gt;0,LEN(D158)=0),"NO CHECK-OUT","")</f>
      </c>
      <c r="W158" s="20">
        <f>IFERROR(IF(R158="",W157,IF(R158="ATTENTION",W157-S158,IF(S158&gt;R158,W157-T158,W157+T158))),"")</f>
        <v>25569.1875</v>
      </c>
    </row>
    <row x14ac:dyDescent="0.25" r="159" customHeight="1" ht="17.25">
      <c r="A159" s="21"/>
      <c r="B159" s="24"/>
      <c r="C159" s="35"/>
      <c r="D159" s="35"/>
      <c r="E159" s="37"/>
      <c r="F159" s="37"/>
      <c r="G159" s="21"/>
      <c r="H159" s="21"/>
      <c r="I159" s="21"/>
      <c r="J159" s="43">
        <f>IFERROR(DATE((LEFT(B159,4)),MID(B159,5,2),RIGHT(B159,2)),"")</f>
        <v>25569.1875</v>
      </c>
      <c r="K159" s="21"/>
      <c r="L159" s="49">
        <f>IF(A159="Total Hours","",IF(J159="",L158,J159))</f>
        <v>25569.1875</v>
      </c>
      <c r="M159" s="50">
        <f>A159</f>
      </c>
      <c r="N159" s="17">
        <f>IF(C159="",IF(U159="",C159,""),C159)</f>
        <v>25569.1875</v>
      </c>
      <c r="O159" s="17">
        <f>IF(D159="",IF(U159="",D159,""),D159)</f>
        <v>25569.1875</v>
      </c>
      <c r="P159" s="17">
        <f>IFERROR(IF(N159&gt;O159,G159,O159-N159),"")</f>
        <v>25569.1875</v>
      </c>
      <c r="Q159" s="17">
        <f>IF(U159="",TIME(0,30,0),"")</f>
        <v>25569.1875</v>
      </c>
      <c r="R159" s="17">
        <f>IFERROR(IF(OR(IFERROR((P159-Q159)&lt;0,""),P159="Missing OUT"),"ATTENTION",P159-Q159),"")</f>
        <v>25569.1875</v>
      </c>
      <c r="S159" s="17">
        <f>TIME(8,0,0)</f>
        <v>25569.1875</v>
      </c>
      <c r="T159" s="17">
        <f>IFERROR(IF(R159="ATTENTION",TIME(8,0,0),IF(S159&gt;R159,S159-R159,R159-S159)),"")</f>
        <v>25569.1875</v>
      </c>
      <c r="U159" s="18">
        <f>IFERROR(VLOOKUP(L159,Calendar!$A$2:$C$261,3,0),"")</f>
      </c>
      <c r="V159" s="19">
        <f>IF(AND(LEN(C159)&gt;0,LEN(D159)=0),"NO CHECK-OUT","")</f>
      </c>
      <c r="W159" s="20">
        <f>IFERROR(IF(R159="",W158,IF(R159="ATTENTION",W158-S159,IF(S159&gt;R159,W158-T159,W158+T159))),"")</f>
        <v>25569.1875</v>
      </c>
    </row>
    <row x14ac:dyDescent="0.25" r="160" customHeight="1" ht="17.25">
      <c r="A160" s="21"/>
      <c r="B160" s="24"/>
      <c r="C160" s="35"/>
      <c r="D160" s="35"/>
      <c r="E160" s="37"/>
      <c r="F160" s="37"/>
      <c r="G160" s="21"/>
      <c r="H160" s="21"/>
      <c r="I160" s="21"/>
      <c r="J160" s="43">
        <f>IFERROR(DATE((LEFT(B160,4)),MID(B160,5,2),RIGHT(B160,2)),"")</f>
        <v>25569.1875</v>
      </c>
      <c r="K160" s="21"/>
      <c r="L160" s="49">
        <f>IF(A160="Total Hours","",IF(J160="",L159,J160))</f>
        <v>25569.1875</v>
      </c>
      <c r="M160" s="50">
        <f>A160</f>
      </c>
      <c r="N160" s="17">
        <f>IF(C160="",IF(U160="",C160,""),C160)</f>
        <v>25569.1875</v>
      </c>
      <c r="O160" s="17">
        <f>IF(D160="",IF(U160="",D160,""),D160)</f>
        <v>25569.1875</v>
      </c>
      <c r="P160" s="17">
        <f>IFERROR(IF(N160&gt;O160,G160,O160-N160),"")</f>
        <v>25569.1875</v>
      </c>
      <c r="Q160" s="17">
        <f>IF(U160="",TIME(0,30,0),"")</f>
        <v>25569.1875</v>
      </c>
      <c r="R160" s="17">
        <f>IFERROR(IF(OR(IFERROR((P160-Q160)&lt;0,""),P160="Missing OUT"),"ATTENTION",P160-Q160),"")</f>
        <v>25569.1875</v>
      </c>
      <c r="S160" s="17">
        <f>TIME(8,0,0)</f>
        <v>25569.1875</v>
      </c>
      <c r="T160" s="17">
        <f>IFERROR(IF(R160="ATTENTION",TIME(8,0,0),IF(S160&gt;R160,S160-R160,R160-S160)),"")</f>
        <v>25569.1875</v>
      </c>
      <c r="U160" s="18">
        <f>IFERROR(VLOOKUP(L160,Calendar!$A$2:$C$261,3,0),"")</f>
      </c>
      <c r="V160" s="19">
        <f>IF(AND(LEN(C160)&gt;0,LEN(D160)=0),"NO CHECK-OUT","")</f>
      </c>
      <c r="W160" s="20">
        <f>IFERROR(IF(R160="",W159,IF(R160="ATTENTION",W159-S160,IF(S160&gt;R160,W159-T160,W159+T160))),"")</f>
        <v>25569.1875</v>
      </c>
    </row>
    <row x14ac:dyDescent="0.25" r="161" customHeight="1" ht="17.25">
      <c r="A161" s="21"/>
      <c r="B161" s="24"/>
      <c r="C161" s="35"/>
      <c r="D161" s="35"/>
      <c r="E161" s="37"/>
      <c r="F161" s="37"/>
      <c r="G161" s="21"/>
      <c r="H161" s="21"/>
      <c r="I161" s="21"/>
      <c r="J161" s="43">
        <f>IFERROR(DATE((LEFT(B161,4)),MID(B161,5,2),RIGHT(B161,2)),"")</f>
        <v>25569.1875</v>
      </c>
      <c r="K161" s="21"/>
      <c r="L161" s="49">
        <f>IF(A161="Total Hours","",IF(J161="",L160,J161))</f>
        <v>25569.1875</v>
      </c>
      <c r="M161" s="50">
        <f>A161</f>
      </c>
      <c r="N161" s="17">
        <f>IF(C161="",IF(U161="",C161,""),C161)</f>
        <v>25569.1875</v>
      </c>
      <c r="O161" s="17">
        <f>IF(D161="",IF(U161="",D161,""),D161)</f>
        <v>25569.1875</v>
      </c>
      <c r="P161" s="17">
        <f>IFERROR(IF(N161&gt;O161,G161,O161-N161),"")</f>
        <v>25569.1875</v>
      </c>
      <c r="Q161" s="17">
        <f>IF(U161="",TIME(0,30,0),"")</f>
        <v>25569.1875</v>
      </c>
      <c r="R161" s="17">
        <f>IFERROR(IF(OR(IFERROR((P161-Q161)&lt;0,""),P161="Missing OUT"),"ATTENTION",P161-Q161),"")</f>
        <v>25569.1875</v>
      </c>
      <c r="S161" s="17">
        <f>TIME(8,0,0)</f>
        <v>25569.1875</v>
      </c>
      <c r="T161" s="17">
        <f>IFERROR(IF(R161="ATTENTION",TIME(8,0,0),IF(S161&gt;R161,S161-R161,R161-S161)),"")</f>
        <v>25569.1875</v>
      </c>
      <c r="U161" s="18">
        <f>IFERROR(VLOOKUP(L161,Calendar!$A$2:$C$261,3,0),"")</f>
      </c>
      <c r="V161" s="19">
        <f>IF(AND(LEN(C161)&gt;0,LEN(D161)=0),"NO CHECK-OUT","")</f>
      </c>
      <c r="W161" s="20">
        <f>IFERROR(IF(R161="",W160,IF(R161="ATTENTION",W160-S161,IF(S161&gt;R161,W160-T161,W160+T161))),"")</f>
        <v>25569.1875</v>
      </c>
    </row>
    <row x14ac:dyDescent="0.25" r="162" customHeight="1" ht="17.25">
      <c r="A162" s="21"/>
      <c r="B162" s="24"/>
      <c r="C162" s="35"/>
      <c r="D162" s="35"/>
      <c r="E162" s="37"/>
      <c r="F162" s="37"/>
      <c r="G162" s="21"/>
      <c r="H162" s="21"/>
      <c r="I162" s="21"/>
      <c r="J162" s="43">
        <f>IFERROR(DATE((LEFT(B162,4)),MID(B162,5,2),RIGHT(B162,2)),"")</f>
        <v>25569.1875</v>
      </c>
      <c r="K162" s="21"/>
      <c r="L162" s="49">
        <f>IF(A162="Total Hours","",IF(J162="",L161,J162))</f>
        <v>25569.1875</v>
      </c>
      <c r="M162" s="50">
        <f>A162</f>
      </c>
      <c r="N162" s="17">
        <f>IF(C162="",IF(U162="",C162,""),C162)</f>
        <v>25569.1875</v>
      </c>
      <c r="O162" s="17">
        <f>IF(D162="",IF(U162="",D162,""),D162)</f>
        <v>25569.1875</v>
      </c>
      <c r="P162" s="17">
        <f>IFERROR(IF(N162&gt;O162,G162,O162-N162),"")</f>
        <v>25569.1875</v>
      </c>
      <c r="Q162" s="17">
        <f>IF(U162="",TIME(0,30,0),"")</f>
        <v>25569.1875</v>
      </c>
      <c r="R162" s="17">
        <f>IFERROR(IF(OR(IFERROR((P162-Q162)&lt;0,""),P162="Missing OUT"),"ATTENTION",P162-Q162),"")</f>
        <v>25569.1875</v>
      </c>
      <c r="S162" s="17">
        <f>TIME(8,0,0)</f>
        <v>25569.1875</v>
      </c>
      <c r="T162" s="17">
        <f>IFERROR(IF(R162="ATTENTION",TIME(8,0,0),IF(S162&gt;R162,S162-R162,R162-S162)),"")</f>
        <v>25569.1875</v>
      </c>
      <c r="U162" s="18">
        <f>IFERROR(VLOOKUP(L162,Calendar!$A$2:$C$261,3,0),"")</f>
      </c>
      <c r="V162" s="19">
        <f>IF(AND(LEN(C162)&gt;0,LEN(D162)=0),"NO CHECK-OUT","")</f>
      </c>
      <c r="W162" s="20">
        <f>IFERROR(IF(R162="",W161,IF(R162="ATTENTION",W161-S162,IF(S162&gt;R162,W161-T162,W161+T162))),"")</f>
        <v>25569.1875</v>
      </c>
    </row>
    <row x14ac:dyDescent="0.25" r="163" customHeight="1" ht="17.25">
      <c r="A163" s="21"/>
      <c r="B163" s="24"/>
      <c r="C163" s="35"/>
      <c r="D163" s="35"/>
      <c r="E163" s="37"/>
      <c r="F163" s="37"/>
      <c r="G163" s="21"/>
      <c r="H163" s="21"/>
      <c r="I163" s="21"/>
      <c r="J163" s="43">
        <f>IFERROR(DATE((LEFT(B163,4)),MID(B163,5,2),RIGHT(B163,2)),"")</f>
        <v>25569.1875</v>
      </c>
      <c r="K163" s="21"/>
      <c r="L163" s="49">
        <f>IF(A163="Total Hours","",IF(J163="",L162,J163))</f>
        <v>25569.1875</v>
      </c>
      <c r="M163" s="50">
        <f>A163</f>
      </c>
      <c r="N163" s="17">
        <f>IF(C163="",IF(U163="",C163,""),C163)</f>
        <v>25569.1875</v>
      </c>
      <c r="O163" s="17">
        <f>IF(D163="",IF(U163="",D163,""),D163)</f>
        <v>25569.1875</v>
      </c>
      <c r="P163" s="17">
        <f>IFERROR(IF(N163&gt;O163,G163,O163-N163),"")</f>
        <v>25569.1875</v>
      </c>
      <c r="Q163" s="17">
        <f>IF(U163="",TIME(0,30,0),"")</f>
        <v>25569.1875</v>
      </c>
      <c r="R163" s="17">
        <f>IFERROR(IF(OR(IFERROR((P163-Q163)&lt;0,""),P163="Missing OUT"),"ATTENTION",P163-Q163),"")</f>
        <v>25569.1875</v>
      </c>
      <c r="S163" s="17">
        <f>TIME(8,0,0)</f>
        <v>25569.1875</v>
      </c>
      <c r="T163" s="17">
        <f>IFERROR(IF(R163="ATTENTION",TIME(8,0,0),IF(S163&gt;R163,S163-R163,R163-S163)),"")</f>
        <v>25569.1875</v>
      </c>
      <c r="U163" s="18">
        <f>IFERROR(VLOOKUP(L163,Calendar!$A$2:$C$261,3,0),"")</f>
      </c>
      <c r="V163" s="19">
        <f>IF(AND(LEN(C163)&gt;0,LEN(D163)=0),"NO CHECK-OUT","")</f>
      </c>
      <c r="W163" s="20">
        <f>IFERROR(IF(R163="",W162,IF(R163="ATTENTION",W162-S163,IF(S163&gt;R163,W162-T163,W162+T163))),"")</f>
        <v>25569.1875</v>
      </c>
    </row>
    <row x14ac:dyDescent="0.25" r="164" customHeight="1" ht="17.25">
      <c r="A164" s="21"/>
      <c r="B164" s="24"/>
      <c r="C164" s="35"/>
      <c r="D164" s="35"/>
      <c r="E164" s="37"/>
      <c r="F164" s="37"/>
      <c r="G164" s="21"/>
      <c r="H164" s="21"/>
      <c r="I164" s="21"/>
      <c r="J164" s="43">
        <f>IFERROR(DATE((LEFT(B164,4)),MID(B164,5,2),RIGHT(B164,2)),"")</f>
        <v>25569.1875</v>
      </c>
      <c r="K164" s="21"/>
      <c r="L164" s="49">
        <f>IF(A164="Total Hours","",IF(J164="",L163,J164))</f>
        <v>25569.1875</v>
      </c>
      <c r="M164" s="50">
        <f>A164</f>
      </c>
      <c r="N164" s="17">
        <f>IF(C164="",IF(U164="",C164,""),C164)</f>
        <v>25569.1875</v>
      </c>
      <c r="O164" s="17">
        <f>IF(D164="",IF(U164="",D164,""),D164)</f>
        <v>25569.1875</v>
      </c>
      <c r="P164" s="17">
        <f>IFERROR(IF(N164&gt;O164,G164,O164-N164),"")</f>
        <v>25569.1875</v>
      </c>
      <c r="Q164" s="17">
        <f>IF(U164="",TIME(0,30,0),"")</f>
        <v>25569.1875</v>
      </c>
      <c r="R164" s="17">
        <f>IFERROR(IF(OR(IFERROR((P164-Q164)&lt;0,""),P164="Missing OUT"),"ATTENTION",P164-Q164),"")</f>
        <v>25569.1875</v>
      </c>
      <c r="S164" s="17">
        <f>TIME(8,0,0)</f>
        <v>25569.1875</v>
      </c>
      <c r="T164" s="17">
        <f>IFERROR(IF(R164="ATTENTION",TIME(8,0,0),IF(S164&gt;R164,S164-R164,R164-S164)),"")</f>
        <v>25569.1875</v>
      </c>
      <c r="U164" s="18">
        <f>IFERROR(VLOOKUP(L164,Calendar!$A$2:$C$261,3,0),"")</f>
      </c>
      <c r="V164" s="19">
        <f>IF(AND(LEN(C164)&gt;0,LEN(D164)=0),"NO CHECK-OUT","")</f>
      </c>
      <c r="W164" s="20">
        <f>IFERROR(IF(R164="",W163,IF(R164="ATTENTION",W163-S164,IF(S164&gt;R164,W163-T164,W163+T164))),"")</f>
        <v>25569.1875</v>
      </c>
    </row>
    <row x14ac:dyDescent="0.25" r="165" customHeight="1" ht="17.25">
      <c r="A165" s="21"/>
      <c r="B165" s="24"/>
      <c r="C165" s="35"/>
      <c r="D165" s="35"/>
      <c r="E165" s="37"/>
      <c r="F165" s="37"/>
      <c r="G165" s="21"/>
      <c r="H165" s="21"/>
      <c r="I165" s="21"/>
      <c r="J165" s="43">
        <f>IFERROR(DATE((LEFT(B165,4)),MID(B165,5,2),RIGHT(B165,2)),"")</f>
        <v>25569.1875</v>
      </c>
      <c r="K165" s="21"/>
      <c r="L165" s="49">
        <f>IF(A165="Total Hours","",IF(J165="",L164,J165))</f>
        <v>25569.1875</v>
      </c>
      <c r="M165" s="50">
        <f>A165</f>
      </c>
      <c r="N165" s="17">
        <f>IF(C165="",IF(U165="",C165,""),C165)</f>
        <v>25569.1875</v>
      </c>
      <c r="O165" s="17">
        <f>IF(D165="",IF(U165="",D165,""),D165)</f>
        <v>25569.1875</v>
      </c>
      <c r="P165" s="17">
        <f>IFERROR(IF(N165&gt;O165,G165,O165-N165),"")</f>
        <v>25569.1875</v>
      </c>
      <c r="Q165" s="17">
        <f>IF(U165="",TIME(0,30,0),"")</f>
        <v>25569.1875</v>
      </c>
      <c r="R165" s="17">
        <f>IFERROR(IF(OR(IFERROR((P165-Q165)&lt;0,""),P165="Missing OUT"),"ATTENTION",P165-Q165),"")</f>
        <v>25569.1875</v>
      </c>
      <c r="S165" s="17">
        <f>TIME(8,0,0)</f>
        <v>25569.1875</v>
      </c>
      <c r="T165" s="17">
        <f>IFERROR(IF(R165="ATTENTION",TIME(8,0,0),IF(S165&gt;R165,S165-R165,R165-S165)),"")</f>
        <v>25569.1875</v>
      </c>
      <c r="U165" s="18">
        <f>IFERROR(VLOOKUP(L165,Calendar!$A$2:$C$261,3,0),"")</f>
      </c>
      <c r="V165" s="19">
        <f>IF(AND(LEN(C165)&gt;0,LEN(D165)=0),"NO CHECK-OUT","")</f>
      </c>
      <c r="W165" s="20">
        <f>IFERROR(IF(R165="",W164,IF(R165="ATTENTION",W164-S165,IF(S165&gt;R165,W164-T165,W164+T165))),"")</f>
        <v>25569.1875</v>
      </c>
    </row>
    <row x14ac:dyDescent="0.25" r="166" customHeight="1" ht="17.25">
      <c r="A166" s="21"/>
      <c r="B166" s="24"/>
      <c r="C166" s="35"/>
      <c r="D166" s="35"/>
      <c r="E166" s="37"/>
      <c r="F166" s="37"/>
      <c r="G166" s="21"/>
      <c r="H166" s="21"/>
      <c r="I166" s="21"/>
      <c r="J166" s="43">
        <f>IFERROR(DATE((LEFT(B166,4)),MID(B166,5,2),RIGHT(B166,2)),"")</f>
        <v>25569.1875</v>
      </c>
      <c r="K166" s="21"/>
      <c r="L166" s="49">
        <f>IF(A166="Total Hours","",IF(J166="",L165,J166))</f>
        <v>25569.1875</v>
      </c>
      <c r="M166" s="50">
        <f>A166</f>
      </c>
      <c r="N166" s="17">
        <f>IF(C166="",IF(U166="",C166,""),C166)</f>
        <v>25569.1875</v>
      </c>
      <c r="O166" s="17">
        <f>IF(D166="",IF(U166="",D166,""),D166)</f>
        <v>25569.1875</v>
      </c>
      <c r="P166" s="17">
        <f>IFERROR(IF(N166&gt;O166,G166,O166-N166),"")</f>
        <v>25569.1875</v>
      </c>
      <c r="Q166" s="17">
        <f>IF(U166="",TIME(0,30,0),"")</f>
        <v>25569.1875</v>
      </c>
      <c r="R166" s="17">
        <f>IFERROR(IF(OR(IFERROR((P166-Q166)&lt;0,""),P166="Missing OUT"),"ATTENTION",P166-Q166),"")</f>
        <v>25569.1875</v>
      </c>
      <c r="S166" s="17">
        <f>TIME(8,0,0)</f>
        <v>25569.1875</v>
      </c>
      <c r="T166" s="17">
        <f>IFERROR(IF(R166="ATTENTION",TIME(8,0,0),IF(S166&gt;R166,S166-R166,R166-S166)),"")</f>
        <v>25569.1875</v>
      </c>
      <c r="U166" s="18">
        <f>IFERROR(VLOOKUP(L166,Calendar!$A$2:$C$261,3,0),"")</f>
      </c>
      <c r="V166" s="19">
        <f>IF(AND(LEN(C166)&gt;0,LEN(D166)=0),"NO CHECK-OUT","")</f>
      </c>
      <c r="W166" s="20">
        <f>IFERROR(IF(R166="",W165,IF(R166="ATTENTION",W165-S166,IF(S166&gt;R166,W165-T166,W165+T166))),"")</f>
        <v>25569.1875</v>
      </c>
    </row>
    <row x14ac:dyDescent="0.25" r="167" customHeight="1" ht="17.25">
      <c r="A167" s="21"/>
      <c r="B167" s="24"/>
      <c r="C167" s="35"/>
      <c r="D167" s="35"/>
      <c r="E167" s="37"/>
      <c r="F167" s="37"/>
      <c r="G167" s="21"/>
      <c r="H167" s="21"/>
      <c r="I167" s="21"/>
      <c r="J167" s="43">
        <f>IFERROR(DATE((LEFT(B167,4)),MID(B167,5,2),RIGHT(B167,2)),"")</f>
        <v>25569.1875</v>
      </c>
      <c r="K167" s="21"/>
      <c r="L167" s="49">
        <f>IF(A167="Total Hours","",IF(J167="",L166,J167))</f>
        <v>25569.1875</v>
      </c>
      <c r="M167" s="50">
        <f>A167</f>
      </c>
      <c r="N167" s="17">
        <f>IF(C167="",IF(U167="",C167,""),C167)</f>
        <v>25569.1875</v>
      </c>
      <c r="O167" s="17">
        <f>IF(D167="",IF(U167="",D167,""),D167)</f>
        <v>25569.1875</v>
      </c>
      <c r="P167" s="17">
        <f>IFERROR(IF(N167&gt;O167,G167,O167-N167),"")</f>
        <v>25569.1875</v>
      </c>
      <c r="Q167" s="17">
        <f>IF(U167="",TIME(0,30,0),"")</f>
        <v>25569.1875</v>
      </c>
      <c r="R167" s="17">
        <f>IFERROR(IF(OR(IFERROR((P167-Q167)&lt;0,""),P167="Missing OUT"),"ATTENTION",P167-Q167),"")</f>
        <v>25569.1875</v>
      </c>
      <c r="S167" s="17">
        <f>TIME(8,0,0)</f>
        <v>25569.1875</v>
      </c>
      <c r="T167" s="17">
        <f>IFERROR(IF(R167="ATTENTION",TIME(8,0,0),IF(S167&gt;R167,S167-R167,R167-S167)),"")</f>
        <v>25569.1875</v>
      </c>
      <c r="U167" s="18">
        <f>IFERROR(VLOOKUP(L167,Calendar!$A$2:$C$261,3,0),"")</f>
      </c>
      <c r="V167" s="19">
        <f>IF(AND(LEN(C167)&gt;0,LEN(D167)=0),"NO CHECK-OUT","")</f>
      </c>
      <c r="W167" s="20">
        <f>IFERROR(IF(R167="",W166,IF(R167="ATTENTION",W166-S167,IF(S167&gt;R167,W166-T167,W166+T167))),"")</f>
        <v>25569.1875</v>
      </c>
    </row>
    <row x14ac:dyDescent="0.25" r="168" customHeight="1" ht="17.25">
      <c r="A168" s="21"/>
      <c r="B168" s="24"/>
      <c r="C168" s="35"/>
      <c r="D168" s="35"/>
      <c r="E168" s="37"/>
      <c r="F168" s="37"/>
      <c r="G168" s="21"/>
      <c r="H168" s="21"/>
      <c r="I168" s="21"/>
      <c r="J168" s="43">
        <f>IFERROR(DATE((LEFT(B168,4)),MID(B168,5,2),RIGHT(B168,2)),"")</f>
        <v>25569.1875</v>
      </c>
      <c r="K168" s="21"/>
      <c r="L168" s="49">
        <f>IF(A168="Total Hours","",IF(J168="",L167,J168))</f>
        <v>25569.1875</v>
      </c>
      <c r="M168" s="50">
        <f>A168</f>
      </c>
      <c r="N168" s="17">
        <f>IF(C168="",IF(U168="",C168,""),C168)</f>
        <v>25569.1875</v>
      </c>
      <c r="O168" s="17">
        <f>IF(D168="",IF(U168="",D168,""),D168)</f>
        <v>25569.1875</v>
      </c>
      <c r="P168" s="17">
        <f>IFERROR(IF(N168&gt;O168,G168,O168-N168),"")</f>
        <v>25569.1875</v>
      </c>
      <c r="Q168" s="17">
        <f>IF(U168="",TIME(0,30,0),"")</f>
        <v>25569.1875</v>
      </c>
      <c r="R168" s="17">
        <f>IFERROR(IF(OR(IFERROR((P168-Q168)&lt;0,""),P168="Missing OUT"),"ATTENTION",P168-Q168),"")</f>
        <v>25569.1875</v>
      </c>
      <c r="S168" s="17">
        <f>TIME(8,0,0)</f>
        <v>25569.1875</v>
      </c>
      <c r="T168" s="17">
        <f>IFERROR(IF(R168="ATTENTION",TIME(8,0,0),IF(S168&gt;R168,S168-R168,R168-S168)),"")</f>
        <v>25569.1875</v>
      </c>
      <c r="U168" s="18">
        <f>IFERROR(VLOOKUP(L168,Calendar!$A$2:$C$261,3,0),"")</f>
      </c>
      <c r="V168" s="19">
        <f>IF(AND(LEN(C168)&gt;0,LEN(D168)=0),"NO CHECK-OUT","")</f>
      </c>
      <c r="W168" s="20">
        <f>IFERROR(IF(R168="",W167,IF(R168="ATTENTION",W167-S168,IF(S168&gt;R168,W167-T168,W167+T168))),"")</f>
        <v>25569.1875</v>
      </c>
    </row>
    <row x14ac:dyDescent="0.25" r="169" customHeight="1" ht="17.25">
      <c r="A169" s="21"/>
      <c r="B169" s="24"/>
      <c r="C169" s="35"/>
      <c r="D169" s="35"/>
      <c r="E169" s="37"/>
      <c r="F169" s="37"/>
      <c r="G169" s="21"/>
      <c r="H169" s="21"/>
      <c r="I169" s="21"/>
      <c r="J169" s="43">
        <f>IFERROR(DATE((LEFT(B169,4)),MID(B169,5,2),RIGHT(B169,2)),"")</f>
        <v>25569.1875</v>
      </c>
      <c r="K169" s="21"/>
      <c r="L169" s="49">
        <f>IF(A169="Total Hours","",IF(J169="",L168,J169))</f>
        <v>25569.1875</v>
      </c>
      <c r="M169" s="50">
        <f>A169</f>
      </c>
      <c r="N169" s="17">
        <f>IF(C169="",IF(U169="",C169,""),C169)</f>
        <v>25569.1875</v>
      </c>
      <c r="O169" s="17">
        <f>IF(D169="",IF(U169="",D169,""),D169)</f>
        <v>25569.1875</v>
      </c>
      <c r="P169" s="17">
        <f>IFERROR(IF(N169&gt;O169,G169,O169-N169),"")</f>
        <v>25569.1875</v>
      </c>
      <c r="Q169" s="17">
        <f>IF(U169="",TIME(0,30,0),"")</f>
        <v>25569.1875</v>
      </c>
      <c r="R169" s="17">
        <f>IFERROR(IF(OR(IFERROR((P169-Q169)&lt;0,""),P169="Missing OUT"),"ATTENTION",P169-Q169),"")</f>
        <v>25569.1875</v>
      </c>
      <c r="S169" s="17">
        <f>TIME(8,0,0)</f>
        <v>25569.1875</v>
      </c>
      <c r="T169" s="17">
        <f>IFERROR(IF(R169="ATTENTION",TIME(8,0,0),IF(S169&gt;R169,S169-R169,R169-S169)),"")</f>
        <v>25569.1875</v>
      </c>
      <c r="U169" s="18">
        <f>IFERROR(VLOOKUP(L169,Calendar!$A$2:$C$261,3,0),"")</f>
      </c>
      <c r="V169" s="19">
        <f>IF(AND(LEN(C169)&gt;0,LEN(D169)=0),"NO CHECK-OUT","")</f>
      </c>
      <c r="W169" s="20">
        <f>IFERROR(IF(R169="",W168,IF(R169="ATTENTION",W168-S169,IF(S169&gt;R169,W168-T169,W168+T169))),"")</f>
        <v>25569.1875</v>
      </c>
    </row>
    <row x14ac:dyDescent="0.25" r="170" customHeight="1" ht="17.25">
      <c r="A170" s="21"/>
      <c r="B170" s="24"/>
      <c r="C170" s="35"/>
      <c r="D170" s="35"/>
      <c r="E170" s="37"/>
      <c r="F170" s="37"/>
      <c r="G170" s="21"/>
      <c r="H170" s="21"/>
      <c r="I170" s="21"/>
      <c r="J170" s="43">
        <f>IFERROR(DATE((LEFT(B170,4)),MID(B170,5,2),RIGHT(B170,2)),"")</f>
        <v>25569.1875</v>
      </c>
      <c r="K170" s="21"/>
      <c r="L170" s="49">
        <f>IF(A170="Total Hours","",IF(J170="",L169,J170))</f>
        <v>25569.1875</v>
      </c>
      <c r="M170" s="50">
        <f>A170</f>
      </c>
      <c r="N170" s="17">
        <f>IF(C170="",IF(U170="",C170,""),C170)</f>
        <v>25569.1875</v>
      </c>
      <c r="O170" s="17">
        <f>IF(D170="",IF(U170="",D170,""),D170)</f>
        <v>25569.1875</v>
      </c>
      <c r="P170" s="17">
        <f>IFERROR(IF(N170&gt;O170,G170,O170-N170),"")</f>
        <v>25569.1875</v>
      </c>
      <c r="Q170" s="17">
        <f>IF(U170="",TIME(0,30,0),"")</f>
        <v>25569.1875</v>
      </c>
      <c r="R170" s="17">
        <f>IFERROR(IF(OR(IFERROR((P170-Q170)&lt;0,""),P170="Missing OUT"),"ATTENTION",P170-Q170),"")</f>
        <v>25569.1875</v>
      </c>
      <c r="S170" s="17">
        <f>TIME(8,0,0)</f>
        <v>25569.1875</v>
      </c>
      <c r="T170" s="17">
        <f>IFERROR(IF(R170="ATTENTION",TIME(8,0,0),IF(S170&gt;R170,S170-R170,R170-S170)),"")</f>
        <v>25569.1875</v>
      </c>
      <c r="U170" s="18">
        <f>IFERROR(VLOOKUP(L170,Calendar!$A$2:$C$261,3,0),"")</f>
      </c>
      <c r="V170" s="19">
        <f>IF(AND(LEN(C170)&gt;0,LEN(D170)=0),"NO CHECK-OUT","")</f>
      </c>
      <c r="W170" s="20">
        <f>IFERROR(IF(R170="",W169,IF(R170="ATTENTION",W169-S170,IF(S170&gt;R170,W169-T170,W169+T170))),"")</f>
        <v>25569.1875</v>
      </c>
    </row>
    <row x14ac:dyDescent="0.25" r="171" customHeight="1" ht="17.25">
      <c r="A171" s="21"/>
      <c r="B171" s="24"/>
      <c r="C171" s="35"/>
      <c r="D171" s="35"/>
      <c r="E171" s="37"/>
      <c r="F171" s="37"/>
      <c r="G171" s="21"/>
      <c r="H171" s="21"/>
      <c r="I171" s="21"/>
      <c r="J171" s="43">
        <f>IFERROR(DATE((LEFT(B171,4)),MID(B171,5,2),RIGHT(B171,2)),"")</f>
        <v>25569.1875</v>
      </c>
      <c r="K171" s="21"/>
      <c r="L171" s="49">
        <f>IF(A171="Total Hours","",IF(J171="",L170,J171))</f>
        <v>25569.1875</v>
      </c>
      <c r="M171" s="50">
        <f>A171</f>
      </c>
      <c r="N171" s="17">
        <f>IF(C171="",IF(U171="",C171,""),C171)</f>
        <v>25569.1875</v>
      </c>
      <c r="O171" s="17">
        <f>IF(D171="",IF(U171="",D171,""),D171)</f>
        <v>25569.1875</v>
      </c>
      <c r="P171" s="17">
        <f>IFERROR(IF(N171&gt;O171,G171,O171-N171),"")</f>
        <v>25569.1875</v>
      </c>
      <c r="Q171" s="17">
        <f>IF(U171="",TIME(0,30,0),"")</f>
        <v>25569.1875</v>
      </c>
      <c r="R171" s="17">
        <f>IFERROR(IF(OR(IFERROR((P171-Q171)&lt;0,""),P171="Missing OUT"),"ATTENTION",P171-Q171),"")</f>
        <v>25569.1875</v>
      </c>
      <c r="S171" s="17">
        <f>TIME(8,0,0)</f>
        <v>25569.1875</v>
      </c>
      <c r="T171" s="17">
        <f>IFERROR(IF(R171="ATTENTION",TIME(8,0,0),IF(S171&gt;R171,S171-R171,R171-S171)),"")</f>
        <v>25569.1875</v>
      </c>
      <c r="U171" s="18">
        <f>IFERROR(VLOOKUP(L171,Calendar!$A$2:$C$261,3,0),"")</f>
      </c>
      <c r="V171" s="19">
        <f>IF(AND(LEN(C171)&gt;0,LEN(D171)=0),"NO CHECK-OUT","")</f>
      </c>
      <c r="W171" s="20">
        <f>IFERROR(IF(R171="",W170,IF(R171="ATTENTION",W170-S171,IF(S171&gt;R171,W170-T171,W170+T171))),"")</f>
        <v>25569.1875</v>
      </c>
    </row>
    <row x14ac:dyDescent="0.25" r="172" customHeight="1" ht="17.25">
      <c r="A172" s="21"/>
      <c r="B172" s="24"/>
      <c r="C172" s="35"/>
      <c r="D172" s="35"/>
      <c r="E172" s="37"/>
      <c r="F172" s="37"/>
      <c r="G172" s="21"/>
      <c r="H172" s="21"/>
      <c r="I172" s="21"/>
      <c r="J172" s="43">
        <f>IFERROR(DATE((LEFT(B172,4)),MID(B172,5,2),RIGHT(B172,2)),"")</f>
        <v>25569.1875</v>
      </c>
      <c r="K172" s="21"/>
      <c r="L172" s="49">
        <f>IF(A172="Total Hours","",IF(J172="",L171,J172))</f>
        <v>25569.1875</v>
      </c>
      <c r="M172" s="50">
        <f>A172</f>
      </c>
      <c r="N172" s="17">
        <f>IF(C172="",IF(U172="",C172,""),C172)</f>
        <v>25569.1875</v>
      </c>
      <c r="O172" s="17">
        <f>IF(D172="",IF(U172="",D172,""),D172)</f>
        <v>25569.1875</v>
      </c>
      <c r="P172" s="17">
        <f>IFERROR(IF(N172&gt;O172,G172,O172-N172),"")</f>
        <v>25569.1875</v>
      </c>
      <c r="Q172" s="17">
        <f>IF(U172="",TIME(0,30,0),"")</f>
        <v>25569.1875</v>
      </c>
      <c r="R172" s="17">
        <f>IFERROR(IF(OR(IFERROR((P172-Q172)&lt;0,""),P172="Missing OUT"),"ATTENTION",P172-Q172),"")</f>
        <v>25569.1875</v>
      </c>
      <c r="S172" s="17">
        <f>TIME(8,0,0)</f>
        <v>25569.1875</v>
      </c>
      <c r="T172" s="17">
        <f>IFERROR(IF(R172="ATTENTION",TIME(8,0,0),IF(S172&gt;R172,S172-R172,R172-S172)),"")</f>
        <v>25569.1875</v>
      </c>
      <c r="U172" s="18">
        <f>IFERROR(VLOOKUP(L172,Calendar!$A$2:$C$261,3,0),"")</f>
      </c>
      <c r="V172" s="19">
        <f>IF(AND(LEN(C172)&gt;0,LEN(D172)=0),"NO CHECK-OUT","")</f>
      </c>
      <c r="W172" s="20">
        <f>IFERROR(IF(R172="",W171,IF(R172="ATTENTION",W171-S172,IF(S172&gt;R172,W171-T172,W171+T172))),"")</f>
        <v>25569.1875</v>
      </c>
    </row>
    <row x14ac:dyDescent="0.25" r="173" customHeight="1" ht="17.25">
      <c r="A173" s="21"/>
      <c r="B173" s="24"/>
      <c r="C173" s="35"/>
      <c r="D173" s="35"/>
      <c r="E173" s="37"/>
      <c r="F173" s="37"/>
      <c r="G173" s="21"/>
      <c r="H173" s="21"/>
      <c r="I173" s="21"/>
      <c r="J173" s="43">
        <f>IFERROR(DATE((LEFT(B173,4)),MID(B173,5,2),RIGHT(B173,2)),"")</f>
        <v>25569.1875</v>
      </c>
      <c r="K173" s="21"/>
      <c r="L173" s="49">
        <f>IF(A173="Total Hours","",IF(J173="",L172,J173))</f>
        <v>25569.1875</v>
      </c>
      <c r="M173" s="50">
        <f>A173</f>
      </c>
      <c r="N173" s="17">
        <f>IF(C173="",IF(U173="",C173,""),C173)</f>
        <v>25569.1875</v>
      </c>
      <c r="O173" s="17">
        <f>IF(D173="",IF(U173="",D173,""),D173)</f>
        <v>25569.1875</v>
      </c>
      <c r="P173" s="17">
        <f>IFERROR(IF(N173&gt;O173,G173,O173-N173),"")</f>
        <v>25569.1875</v>
      </c>
      <c r="Q173" s="17">
        <f>IF(U173="",TIME(0,30,0),"")</f>
        <v>25569.1875</v>
      </c>
      <c r="R173" s="17">
        <f>IFERROR(IF(OR(IFERROR((P173-Q173)&lt;0,""),P173="Missing OUT"),"ATTENTION",P173-Q173),"")</f>
        <v>25569.1875</v>
      </c>
      <c r="S173" s="17">
        <f>TIME(8,0,0)</f>
        <v>25569.1875</v>
      </c>
      <c r="T173" s="17">
        <f>IFERROR(IF(R173="ATTENTION",TIME(8,0,0),IF(S173&gt;R173,S173-R173,R173-S173)),"")</f>
        <v>25569.1875</v>
      </c>
      <c r="U173" s="18">
        <f>IFERROR(VLOOKUP(L173,Calendar!$A$2:$C$261,3,0),"")</f>
      </c>
      <c r="V173" s="19">
        <f>IF(AND(LEN(C173)&gt;0,LEN(D173)=0),"NO CHECK-OUT","")</f>
      </c>
      <c r="W173" s="20">
        <f>IFERROR(IF(R173="",W172,IF(R173="ATTENTION",W172-S173,IF(S173&gt;R173,W172-T173,W172+T173))),"")</f>
        <v>25569.1875</v>
      </c>
    </row>
    <row x14ac:dyDescent="0.25" r="174" customHeight="1" ht="17.25">
      <c r="A174" s="21"/>
      <c r="B174" s="24"/>
      <c r="C174" s="35"/>
      <c r="D174" s="35"/>
      <c r="E174" s="37"/>
      <c r="F174" s="37"/>
      <c r="G174" s="21"/>
      <c r="H174" s="21"/>
      <c r="I174" s="21"/>
      <c r="J174" s="43">
        <f>IFERROR(DATE((LEFT(B174,4)),MID(B174,5,2),RIGHT(B174,2)),"")</f>
        <v>25569.1875</v>
      </c>
      <c r="K174" s="21"/>
      <c r="L174" s="49">
        <f>IF(A174="Total Hours","",IF(J174="",L173,J174))</f>
        <v>25569.1875</v>
      </c>
      <c r="M174" s="50">
        <f>A174</f>
      </c>
      <c r="N174" s="17">
        <f>IF(C174="",IF(U174="",C174,""),C174)</f>
        <v>25569.1875</v>
      </c>
      <c r="O174" s="17">
        <f>IF(D174="",IF(U174="",D174,""),D174)</f>
        <v>25569.1875</v>
      </c>
      <c r="P174" s="17">
        <f>IFERROR(IF(N174&gt;O174,G174,O174-N174),"")</f>
        <v>25569.1875</v>
      </c>
      <c r="Q174" s="17">
        <f>IF(U174="",TIME(0,30,0),"")</f>
        <v>25569.1875</v>
      </c>
      <c r="R174" s="17">
        <f>IFERROR(IF(OR(IFERROR((P174-Q174)&lt;0,""),P174="Missing OUT"),"ATTENTION",P174-Q174),"")</f>
        <v>25569.1875</v>
      </c>
      <c r="S174" s="17">
        <f>TIME(8,0,0)</f>
        <v>25569.1875</v>
      </c>
      <c r="T174" s="17">
        <f>IFERROR(IF(R174="ATTENTION",TIME(8,0,0),IF(S174&gt;R174,S174-R174,R174-S174)),"")</f>
        <v>25569.1875</v>
      </c>
      <c r="U174" s="18">
        <f>IFERROR(VLOOKUP(L174,Calendar!$A$2:$C$261,3,0),"")</f>
      </c>
      <c r="V174" s="19">
        <f>IF(AND(LEN(C174)&gt;0,LEN(D174)=0),"NO CHECK-OUT","")</f>
      </c>
      <c r="W174" s="20">
        <f>IFERROR(IF(R174="",W173,IF(R174="ATTENTION",W173-S174,IF(S174&gt;R174,W173-T174,W173+T174))),"")</f>
        <v>25569.1875</v>
      </c>
    </row>
    <row x14ac:dyDescent="0.25" r="175" customHeight="1" ht="17.25">
      <c r="A175" s="21"/>
      <c r="B175" s="24"/>
      <c r="C175" s="35"/>
      <c r="D175" s="35"/>
      <c r="E175" s="37"/>
      <c r="F175" s="37"/>
      <c r="G175" s="21"/>
      <c r="H175" s="21"/>
      <c r="I175" s="21"/>
      <c r="J175" s="43">
        <f>IFERROR(DATE((LEFT(B175,4)),MID(B175,5,2),RIGHT(B175,2)),"")</f>
        <v>25569.1875</v>
      </c>
      <c r="K175" s="21"/>
      <c r="L175" s="49">
        <f>IF(A175="Total Hours","",IF(J175="",L174,J175))</f>
        <v>25569.1875</v>
      </c>
      <c r="M175" s="50">
        <f>A175</f>
      </c>
      <c r="N175" s="17">
        <f>IF(C175="",IF(U175="",C175,""),C175)</f>
        <v>25569.1875</v>
      </c>
      <c r="O175" s="17">
        <f>IF(D175="",IF(U175="",D175,""),D175)</f>
        <v>25569.1875</v>
      </c>
      <c r="P175" s="17">
        <f>IFERROR(IF(N175&gt;O175,G175,O175-N175),"")</f>
        <v>25569.1875</v>
      </c>
      <c r="Q175" s="17">
        <f>IF(U175="",TIME(0,30,0),"")</f>
        <v>25569.1875</v>
      </c>
      <c r="R175" s="17">
        <f>IFERROR(IF(OR(IFERROR((P175-Q175)&lt;0,""),P175="Missing OUT"),"ATTENTION",P175-Q175),"")</f>
        <v>25569.1875</v>
      </c>
      <c r="S175" s="17">
        <f>TIME(8,0,0)</f>
        <v>25569.1875</v>
      </c>
      <c r="T175" s="17">
        <f>IFERROR(IF(R175="ATTENTION",TIME(8,0,0),IF(S175&gt;R175,S175-R175,R175-S175)),"")</f>
        <v>25569.1875</v>
      </c>
      <c r="U175" s="18">
        <f>IFERROR(VLOOKUP(L175,Calendar!$A$2:$C$261,3,0),"")</f>
      </c>
      <c r="V175" s="19">
        <f>IF(AND(LEN(C175)&gt;0,LEN(D175)=0),"NO CHECK-OUT","")</f>
      </c>
      <c r="W175" s="20">
        <f>IFERROR(IF(R175="",W174,IF(R175="ATTENTION",W174-S175,IF(S175&gt;R175,W174-T175,W174+T175))),"")</f>
        <v>25569.1875</v>
      </c>
    </row>
    <row x14ac:dyDescent="0.25" r="176" customHeight="1" ht="17.25">
      <c r="A176" s="21"/>
      <c r="B176" s="24"/>
      <c r="C176" s="35"/>
      <c r="D176" s="35"/>
      <c r="E176" s="37"/>
      <c r="F176" s="37"/>
      <c r="G176" s="21"/>
      <c r="H176" s="21"/>
      <c r="I176" s="21"/>
      <c r="J176" s="43">
        <f>IFERROR(DATE((LEFT(B176,4)),MID(B176,5,2),RIGHT(B176,2)),"")</f>
        <v>25569.1875</v>
      </c>
      <c r="K176" s="21"/>
      <c r="L176" s="49">
        <f>IF(A176="Total Hours","",IF(J176="",L175,J176))</f>
        <v>25569.1875</v>
      </c>
      <c r="M176" s="50">
        <f>A176</f>
      </c>
      <c r="N176" s="17">
        <f>IF(C176="",IF(U176="",C176,""),C176)</f>
        <v>25569.1875</v>
      </c>
      <c r="O176" s="17">
        <f>IF(D176="",IF(U176="",D176,""),D176)</f>
        <v>25569.1875</v>
      </c>
      <c r="P176" s="17">
        <f>IFERROR(IF(N176&gt;O176,G176,O176-N176),"")</f>
        <v>25569.1875</v>
      </c>
      <c r="Q176" s="17">
        <f>IF(U176="",TIME(0,30,0),"")</f>
        <v>25569.1875</v>
      </c>
      <c r="R176" s="17">
        <f>IFERROR(IF(OR(IFERROR((P176-Q176)&lt;0,""),P176="Missing OUT"),"ATTENTION",P176-Q176),"")</f>
        <v>25569.1875</v>
      </c>
      <c r="S176" s="17">
        <f>TIME(8,0,0)</f>
        <v>25569.1875</v>
      </c>
      <c r="T176" s="17">
        <f>IFERROR(IF(R176="ATTENTION",TIME(8,0,0),IF(S176&gt;R176,S176-R176,R176-S176)),"")</f>
        <v>25569.1875</v>
      </c>
      <c r="U176" s="18">
        <f>IFERROR(VLOOKUP(L176,Calendar!$A$2:$C$261,3,0),"")</f>
      </c>
      <c r="V176" s="19">
        <f>IF(AND(LEN(C176)&gt;0,LEN(D176)=0),"NO CHECK-OUT","")</f>
      </c>
      <c r="W176" s="20">
        <f>IFERROR(IF(R176="",W175,IF(R176="ATTENTION",W175-S176,IF(S176&gt;R176,W175-T176,W175+T176))),"")</f>
        <v>25569.1875</v>
      </c>
    </row>
    <row x14ac:dyDescent="0.25" r="177" customHeight="1" ht="17.25">
      <c r="A177" s="21"/>
      <c r="B177" s="24"/>
      <c r="C177" s="35"/>
      <c r="D177" s="35"/>
      <c r="E177" s="37"/>
      <c r="F177" s="37"/>
      <c r="G177" s="21"/>
      <c r="H177" s="21"/>
      <c r="I177" s="21"/>
      <c r="J177" s="43">
        <f>IFERROR(DATE((LEFT(B177,4)),MID(B177,5,2),RIGHT(B177,2)),"")</f>
        <v>25569.1875</v>
      </c>
      <c r="K177" s="21"/>
      <c r="L177" s="49">
        <f>IF(A177="Total Hours","",IF(J177="",L176,J177))</f>
        <v>25569.1875</v>
      </c>
      <c r="M177" s="50">
        <f>A177</f>
      </c>
      <c r="N177" s="17">
        <f>IF(C177="",IF(U177="",C177,""),C177)</f>
        <v>25569.1875</v>
      </c>
      <c r="O177" s="17">
        <f>IF(D177="",IF(U177="",D177,""),D177)</f>
        <v>25569.1875</v>
      </c>
      <c r="P177" s="17">
        <f>IFERROR(IF(N177&gt;O177,G177,O177-N177),"")</f>
        <v>25569.1875</v>
      </c>
      <c r="Q177" s="17">
        <f>IF(U177="",TIME(0,30,0),"")</f>
        <v>25569.1875</v>
      </c>
      <c r="R177" s="17">
        <f>IFERROR(IF(OR(IFERROR((P177-Q177)&lt;0,""),P177="Missing OUT"),"ATTENTION",P177-Q177),"")</f>
        <v>25569.1875</v>
      </c>
      <c r="S177" s="17">
        <f>TIME(8,0,0)</f>
        <v>25569.1875</v>
      </c>
      <c r="T177" s="17">
        <f>IFERROR(IF(R177="ATTENTION",TIME(8,0,0),IF(S177&gt;R177,S177-R177,R177-S177)),"")</f>
        <v>25569.1875</v>
      </c>
      <c r="U177" s="18">
        <f>IFERROR(VLOOKUP(L177,Calendar!$A$2:$C$261,3,0),"")</f>
      </c>
      <c r="V177" s="19">
        <f>IF(AND(LEN(C177)&gt;0,LEN(D177)=0),"NO CHECK-OUT","")</f>
      </c>
      <c r="W177" s="20">
        <f>IFERROR(IF(R177="",W176,IF(R177="ATTENTION",W176-S177,IF(S177&gt;R177,W176-T177,W176+T177))),"")</f>
        <v>25569.1875</v>
      </c>
    </row>
    <row x14ac:dyDescent="0.25" r="178" customHeight="1" ht="17.25">
      <c r="A178" s="21"/>
      <c r="B178" s="24"/>
      <c r="C178" s="35"/>
      <c r="D178" s="35"/>
      <c r="E178" s="37"/>
      <c r="F178" s="37"/>
      <c r="G178" s="21"/>
      <c r="H178" s="21"/>
      <c r="I178" s="21"/>
      <c r="J178" s="43">
        <f>IFERROR(DATE((LEFT(B178,4)),MID(B178,5,2),RIGHT(B178,2)),"")</f>
        <v>25569.1875</v>
      </c>
      <c r="K178" s="21"/>
      <c r="L178" s="49">
        <f>IF(A178="Total Hours","",IF(J178="",L177,J178))</f>
        <v>25569.1875</v>
      </c>
      <c r="M178" s="50">
        <f>A178</f>
      </c>
      <c r="N178" s="17">
        <f>IF(C178="",IF(U178="",C178,""),C178)</f>
        <v>25569.1875</v>
      </c>
      <c r="O178" s="17">
        <f>IF(D178="",IF(U178="",D178,""),D178)</f>
        <v>25569.1875</v>
      </c>
      <c r="P178" s="17">
        <f>IFERROR(IF(N178&gt;O178,G178,O178-N178),"")</f>
        <v>25569.1875</v>
      </c>
      <c r="Q178" s="17">
        <f>IF(U178="",TIME(0,30,0),"")</f>
        <v>25569.1875</v>
      </c>
      <c r="R178" s="17">
        <f>IFERROR(IF(OR(IFERROR((P178-Q178)&lt;0,""),P178="Missing OUT"),"ATTENTION",P178-Q178),"")</f>
        <v>25569.1875</v>
      </c>
      <c r="S178" s="17">
        <f>TIME(8,0,0)</f>
        <v>25569.1875</v>
      </c>
      <c r="T178" s="17">
        <f>IFERROR(IF(R178="ATTENTION",TIME(8,0,0),IF(S178&gt;R178,S178-R178,R178-S178)),"")</f>
        <v>25569.1875</v>
      </c>
      <c r="U178" s="18">
        <f>IFERROR(VLOOKUP(L178,Calendar!$A$2:$C$261,3,0),"")</f>
      </c>
      <c r="V178" s="19">
        <f>IF(AND(LEN(C178)&gt;0,LEN(D178)=0),"NO CHECK-OUT","")</f>
      </c>
      <c r="W178" s="20">
        <f>IFERROR(IF(R178="",W177,IF(R178="ATTENTION",W177-S178,IF(S178&gt;R178,W177-T178,W177+T178))),"")</f>
        <v>25569.1875</v>
      </c>
    </row>
    <row x14ac:dyDescent="0.25" r="179" customHeight="1" ht="17.25">
      <c r="A179" s="21"/>
      <c r="B179" s="24"/>
      <c r="C179" s="35"/>
      <c r="D179" s="35"/>
      <c r="E179" s="37"/>
      <c r="F179" s="37"/>
      <c r="G179" s="21"/>
      <c r="H179" s="21"/>
      <c r="I179" s="21"/>
      <c r="J179" s="43">
        <f>IFERROR(DATE((LEFT(B179,4)),MID(B179,5,2),RIGHT(B179,2)),"")</f>
        <v>25569.1875</v>
      </c>
      <c r="K179" s="21"/>
      <c r="L179" s="49">
        <f>IF(A179="Total Hours","",IF(J179="",L178,J179))</f>
        <v>25569.1875</v>
      </c>
      <c r="M179" s="50">
        <f>A179</f>
      </c>
      <c r="N179" s="17">
        <f>IF(C179="",IF(U179="",C179,""),C179)</f>
        <v>25569.1875</v>
      </c>
      <c r="O179" s="17">
        <f>IF(D179="",IF(U179="",D179,""),D179)</f>
        <v>25569.1875</v>
      </c>
      <c r="P179" s="17">
        <f>IFERROR(IF(N179&gt;O179,G179,O179-N179),"")</f>
        <v>25569.1875</v>
      </c>
      <c r="Q179" s="17">
        <f>IF(U179="",TIME(0,30,0),"")</f>
        <v>25569.1875</v>
      </c>
      <c r="R179" s="17">
        <f>IFERROR(IF(OR(IFERROR((P179-Q179)&lt;0,""),P179="Missing OUT"),"ATTENTION",P179-Q179),"")</f>
        <v>25569.1875</v>
      </c>
      <c r="S179" s="17">
        <f>TIME(8,0,0)</f>
        <v>25569.1875</v>
      </c>
      <c r="T179" s="17">
        <f>IFERROR(IF(R179="ATTENTION",TIME(8,0,0),IF(S179&gt;R179,S179-R179,R179-S179)),"")</f>
        <v>25569.1875</v>
      </c>
      <c r="U179" s="18">
        <f>IFERROR(VLOOKUP(L179,Calendar!$A$2:$C$261,3,0),"")</f>
      </c>
      <c r="V179" s="19">
        <f>IF(AND(LEN(C179)&gt;0,LEN(D179)=0),"NO CHECK-OUT","")</f>
      </c>
      <c r="W179" s="20">
        <f>IFERROR(IF(R179="",W178,IF(R179="ATTENTION",W178-S179,IF(S179&gt;R179,W178-T179,W178+T179))),"")</f>
        <v>25569.1875</v>
      </c>
    </row>
    <row x14ac:dyDescent="0.25" r="180" customHeight="1" ht="17.25">
      <c r="A180" s="21"/>
      <c r="B180" s="24"/>
      <c r="C180" s="35"/>
      <c r="D180" s="35"/>
      <c r="E180" s="37"/>
      <c r="F180" s="37"/>
      <c r="G180" s="21"/>
      <c r="H180" s="21"/>
      <c r="I180" s="21"/>
      <c r="J180" s="43">
        <f>IFERROR(DATE((LEFT(B180,4)),MID(B180,5,2),RIGHT(B180,2)),"")</f>
        <v>25569.1875</v>
      </c>
      <c r="K180" s="21"/>
      <c r="L180" s="49">
        <f>IF(A180="Total Hours","",IF(J180="",L179,J180))</f>
        <v>25569.1875</v>
      </c>
      <c r="M180" s="50">
        <f>A180</f>
      </c>
      <c r="N180" s="17">
        <f>IF(C180="",IF(U180="",C180,""),C180)</f>
        <v>25569.1875</v>
      </c>
      <c r="O180" s="17">
        <f>IF(D180="",IF(U180="",D180,""),D180)</f>
        <v>25569.1875</v>
      </c>
      <c r="P180" s="17">
        <f>IFERROR(IF(N180&gt;O180,G180,O180-N180),"")</f>
        <v>25569.1875</v>
      </c>
      <c r="Q180" s="17">
        <f>IF(U180="",TIME(0,30,0),"")</f>
        <v>25569.1875</v>
      </c>
      <c r="R180" s="17">
        <f>IFERROR(IF(OR(IFERROR((P180-Q180)&lt;0,""),P180="Missing OUT"),"ATTENTION",P180-Q180),"")</f>
        <v>25569.1875</v>
      </c>
      <c r="S180" s="17">
        <f>TIME(8,0,0)</f>
        <v>25569.1875</v>
      </c>
      <c r="T180" s="17">
        <f>IFERROR(IF(R180="ATTENTION",TIME(8,0,0),IF(S180&gt;R180,S180-R180,R180-S180)),"")</f>
        <v>25569.1875</v>
      </c>
      <c r="U180" s="18">
        <f>IFERROR(VLOOKUP(L180,Calendar!$A$2:$C$261,3,0),"")</f>
      </c>
      <c r="V180" s="19">
        <f>IF(AND(LEN(C180)&gt;0,LEN(D180)=0),"NO CHECK-OUT","")</f>
      </c>
      <c r="W180" s="20">
        <f>IFERROR(IF(R180="",W179,IF(R180="ATTENTION",W179-S180,IF(S180&gt;R180,W179-T180,W179+T180))),"")</f>
        <v>25569.1875</v>
      </c>
    </row>
    <row x14ac:dyDescent="0.25" r="181" customHeight="1" ht="17.25">
      <c r="A181" s="21"/>
      <c r="B181" s="24"/>
      <c r="C181" s="35"/>
      <c r="D181" s="35"/>
      <c r="E181" s="37"/>
      <c r="F181" s="37"/>
      <c r="G181" s="21"/>
      <c r="H181" s="21"/>
      <c r="I181" s="21"/>
      <c r="J181" s="43">
        <f>IFERROR(DATE((LEFT(B181,4)),MID(B181,5,2),RIGHT(B181,2)),"")</f>
        <v>25569.1875</v>
      </c>
      <c r="K181" s="21"/>
      <c r="L181" s="49">
        <f>IF(A181="Total Hours","",IF(J181="",L180,J181))</f>
        <v>25569.1875</v>
      </c>
      <c r="M181" s="50">
        <f>A181</f>
      </c>
      <c r="N181" s="17">
        <f>IF(C181="",IF(U181="",C181,""),C181)</f>
        <v>25569.1875</v>
      </c>
      <c r="O181" s="17">
        <f>IF(D181="",IF(U181="",D181,""),D181)</f>
        <v>25569.1875</v>
      </c>
      <c r="P181" s="17">
        <f>IFERROR(IF(N181&gt;O181,G181,O181-N181),"")</f>
        <v>25569.1875</v>
      </c>
      <c r="Q181" s="17">
        <f>IF(U181="",TIME(0,30,0),"")</f>
        <v>25569.1875</v>
      </c>
      <c r="R181" s="17">
        <f>IFERROR(IF(OR(IFERROR((P181-Q181)&lt;0,""),P181="Missing OUT"),"ATTENTION",P181-Q181),"")</f>
        <v>25569.1875</v>
      </c>
      <c r="S181" s="17">
        <f>TIME(8,0,0)</f>
        <v>25569.1875</v>
      </c>
      <c r="T181" s="17">
        <f>IFERROR(IF(R181="ATTENTION",TIME(8,0,0),IF(S181&gt;R181,S181-R181,R181-S181)),"")</f>
        <v>25569.1875</v>
      </c>
      <c r="U181" s="18">
        <f>IFERROR(VLOOKUP(L181,Calendar!$A$2:$C$261,3,0),"")</f>
      </c>
      <c r="V181" s="19">
        <f>IF(AND(LEN(C181)&gt;0,LEN(D181)=0),"NO CHECK-OUT","")</f>
      </c>
      <c r="W181" s="20">
        <f>IFERROR(IF(R181="",W180,IF(R181="ATTENTION",W180-S181,IF(S181&gt;R181,W180-T181,W180+T181))),"")</f>
        <v>25569.1875</v>
      </c>
    </row>
    <row x14ac:dyDescent="0.25" r="182" customHeight="1" ht="17.25">
      <c r="A182" s="21"/>
      <c r="B182" s="24"/>
      <c r="C182" s="35"/>
      <c r="D182" s="35"/>
      <c r="E182" s="37"/>
      <c r="F182" s="37"/>
      <c r="G182" s="21"/>
      <c r="H182" s="21"/>
      <c r="I182" s="21"/>
      <c r="J182" s="43">
        <f>IFERROR(DATE((LEFT(B182,4)),MID(B182,5,2),RIGHT(B182,2)),"")</f>
        <v>25569.1875</v>
      </c>
      <c r="K182" s="21"/>
      <c r="L182" s="49">
        <f>IF(A182="Total Hours","",IF(J182="",L181,J182))</f>
        <v>25569.1875</v>
      </c>
      <c r="M182" s="50">
        <f>A182</f>
      </c>
      <c r="N182" s="17">
        <f>IF(C182="",IF(U182="",C182,""),C182)</f>
        <v>25569.1875</v>
      </c>
      <c r="O182" s="17">
        <f>IF(D182="",IF(U182="",D182,""),D182)</f>
        <v>25569.1875</v>
      </c>
      <c r="P182" s="17">
        <f>IFERROR(IF(N182&gt;O182,G182,O182-N182),"")</f>
        <v>25569.1875</v>
      </c>
      <c r="Q182" s="17">
        <f>IF(U182="",TIME(0,30,0),"")</f>
        <v>25569.1875</v>
      </c>
      <c r="R182" s="17">
        <f>IFERROR(IF(OR(IFERROR((P182-Q182)&lt;0,""),P182="Missing OUT"),"ATTENTION",P182-Q182),"")</f>
        <v>25569.1875</v>
      </c>
      <c r="S182" s="17">
        <f>TIME(8,0,0)</f>
        <v>25569.1875</v>
      </c>
      <c r="T182" s="17">
        <f>IFERROR(IF(R182="ATTENTION",TIME(8,0,0),IF(S182&gt;R182,S182-R182,R182-S182)),"")</f>
        <v>25569.1875</v>
      </c>
      <c r="U182" s="18">
        <f>IFERROR(VLOOKUP(L182,Calendar!$A$2:$C$261,3,0),"")</f>
      </c>
      <c r="V182" s="19">
        <f>IF(AND(LEN(C182)&gt;0,LEN(D182)=0),"NO CHECK-OUT","")</f>
      </c>
      <c r="W182" s="20">
        <f>IFERROR(IF(R182="",W181,IF(R182="ATTENTION",W181-S182,IF(S182&gt;R182,W181-T182,W181+T182))),"")</f>
        <v>25569.1875</v>
      </c>
    </row>
    <row x14ac:dyDescent="0.25" r="183" customHeight="1" ht="17.25">
      <c r="A183" s="21"/>
      <c r="B183" s="24"/>
      <c r="C183" s="35"/>
      <c r="D183" s="35"/>
      <c r="E183" s="37"/>
      <c r="F183" s="37"/>
      <c r="G183" s="21"/>
      <c r="H183" s="21"/>
      <c r="I183" s="21"/>
      <c r="J183" s="43">
        <f>IFERROR(DATE((LEFT(B183,4)),MID(B183,5,2),RIGHT(B183,2)),"")</f>
        <v>25569.1875</v>
      </c>
      <c r="K183" s="21"/>
      <c r="L183" s="49">
        <f>IF(A183="Total Hours","",IF(J183="",L182,J183))</f>
        <v>25569.1875</v>
      </c>
      <c r="M183" s="50">
        <f>A183</f>
      </c>
      <c r="N183" s="17">
        <f>IF(C183="",IF(U183="",C183,""),C183)</f>
        <v>25569.1875</v>
      </c>
      <c r="O183" s="17">
        <f>IF(D183="",IF(U183="",D183,""),D183)</f>
        <v>25569.1875</v>
      </c>
      <c r="P183" s="17">
        <f>IFERROR(IF(N183&gt;O183,G183,O183-N183),"")</f>
        <v>25569.1875</v>
      </c>
      <c r="Q183" s="17">
        <f>IF(U183="",TIME(0,30,0),"")</f>
        <v>25569.1875</v>
      </c>
      <c r="R183" s="17">
        <f>IFERROR(IF(OR(IFERROR((P183-Q183)&lt;0,""),P183="Missing OUT"),"ATTENTION",P183-Q183),"")</f>
        <v>25569.1875</v>
      </c>
      <c r="S183" s="17">
        <f>TIME(8,0,0)</f>
        <v>25569.1875</v>
      </c>
      <c r="T183" s="17">
        <f>IFERROR(IF(R183="ATTENTION",TIME(8,0,0),IF(S183&gt;R183,S183-R183,R183-S183)),"")</f>
        <v>25569.1875</v>
      </c>
      <c r="U183" s="18">
        <f>IFERROR(VLOOKUP(L183,Calendar!$A$2:$C$261,3,0),"")</f>
      </c>
      <c r="V183" s="19">
        <f>IF(AND(LEN(C183)&gt;0,LEN(D183)=0),"NO CHECK-OUT","")</f>
      </c>
      <c r="W183" s="20">
        <f>IFERROR(IF(R183="",W182,IF(R183="ATTENTION",W182-S183,IF(S183&gt;R183,W182-T183,W182+T183))),"")</f>
        <v>25569.1875</v>
      </c>
    </row>
    <row x14ac:dyDescent="0.25" r="184" customHeight="1" ht="17.25">
      <c r="A184" s="21"/>
      <c r="B184" s="24"/>
      <c r="C184" s="35"/>
      <c r="D184" s="35"/>
      <c r="E184" s="37"/>
      <c r="F184" s="37"/>
      <c r="G184" s="21"/>
      <c r="H184" s="21"/>
      <c r="I184" s="21"/>
      <c r="J184" s="43">
        <f>IFERROR(DATE((LEFT(B184,4)),MID(B184,5,2),RIGHT(B184,2)),"")</f>
        <v>25569.1875</v>
      </c>
      <c r="K184" s="21"/>
      <c r="L184" s="49">
        <f>IF(A184="Total Hours","",IF(J184="",L183,J184))</f>
        <v>25569.1875</v>
      </c>
      <c r="M184" s="50">
        <f>A184</f>
      </c>
      <c r="N184" s="17">
        <f>IF(C184="",IF(U184="",C184,""),C184)</f>
        <v>25569.1875</v>
      </c>
      <c r="O184" s="17">
        <f>IF(D184="",IF(U184="",D184,""),D184)</f>
        <v>25569.1875</v>
      </c>
      <c r="P184" s="17">
        <f>IFERROR(IF(N184&gt;O184,G184,O184-N184),"")</f>
        <v>25569.1875</v>
      </c>
      <c r="Q184" s="17">
        <f>IF(U184="",TIME(0,30,0),"")</f>
        <v>25569.1875</v>
      </c>
      <c r="R184" s="17">
        <f>IFERROR(IF(OR(IFERROR((P184-Q184)&lt;0,""),P184="Missing OUT"),"ATTENTION",P184-Q184),"")</f>
        <v>25569.1875</v>
      </c>
      <c r="S184" s="17">
        <f>TIME(8,0,0)</f>
        <v>25569.1875</v>
      </c>
      <c r="T184" s="17">
        <f>IFERROR(IF(R184="ATTENTION",TIME(8,0,0),IF(S184&gt;R184,S184-R184,R184-S184)),"")</f>
        <v>25569.1875</v>
      </c>
      <c r="U184" s="18">
        <f>IFERROR(VLOOKUP(L184,Calendar!$A$2:$C$261,3,0),"")</f>
      </c>
      <c r="V184" s="19">
        <f>IF(AND(LEN(C184)&gt;0,LEN(D184)=0),"NO CHECK-OUT","")</f>
      </c>
      <c r="W184" s="20">
        <f>IFERROR(IF(R184="",W183,IF(R184="ATTENTION",W183-S184,IF(S184&gt;R184,W183-T184,W183+T184))),"")</f>
        <v>25569.1875</v>
      </c>
    </row>
    <row x14ac:dyDescent="0.25" r="185" customHeight="1" ht="17.25">
      <c r="A185" s="21"/>
      <c r="B185" s="24"/>
      <c r="C185" s="35"/>
      <c r="D185" s="35"/>
      <c r="E185" s="37"/>
      <c r="F185" s="37"/>
      <c r="G185" s="21"/>
      <c r="H185" s="21"/>
      <c r="I185" s="21"/>
      <c r="J185" s="43">
        <f>IFERROR(DATE((LEFT(B185,4)),MID(B185,5,2),RIGHT(B185,2)),"")</f>
        <v>25569.1875</v>
      </c>
      <c r="K185" s="21"/>
      <c r="L185" s="49">
        <f>IF(A185="Total Hours","",IF(J185="",L184,J185))</f>
        <v>25569.1875</v>
      </c>
      <c r="M185" s="50">
        <f>A185</f>
      </c>
      <c r="N185" s="17">
        <f>IF(C185="",IF(U185="",C185,""),C185)</f>
        <v>25569.1875</v>
      </c>
      <c r="O185" s="17">
        <f>IF(D185="",IF(U185="",D185,""),D185)</f>
        <v>25569.1875</v>
      </c>
      <c r="P185" s="17">
        <f>IFERROR(IF(N185&gt;O185,G185,O185-N185),"")</f>
        <v>25569.1875</v>
      </c>
      <c r="Q185" s="17">
        <f>IF(U185="",TIME(0,30,0),"")</f>
        <v>25569.1875</v>
      </c>
      <c r="R185" s="17">
        <f>IFERROR(IF(OR(IFERROR((P185-Q185)&lt;0,""),P185="Missing OUT"),"ATTENTION",P185-Q185),"")</f>
        <v>25569.1875</v>
      </c>
      <c r="S185" s="17">
        <f>TIME(8,0,0)</f>
        <v>25569.1875</v>
      </c>
      <c r="T185" s="17">
        <f>IFERROR(IF(R185="ATTENTION",TIME(8,0,0),IF(S185&gt;R185,S185-R185,R185-S185)),"")</f>
        <v>25569.1875</v>
      </c>
      <c r="U185" s="18">
        <f>IFERROR(VLOOKUP(L185,Calendar!$A$2:$C$261,3,0),"")</f>
      </c>
      <c r="V185" s="19">
        <f>IF(AND(LEN(C185)&gt;0,LEN(D185)=0),"NO CHECK-OUT","")</f>
      </c>
      <c r="W185" s="20">
        <f>IFERROR(IF(R185="",W184,IF(R185="ATTENTION",W184-S185,IF(S185&gt;R185,W184-T185,W184+T185))),"")</f>
        <v>25569.1875</v>
      </c>
    </row>
    <row x14ac:dyDescent="0.25" r="186" customHeight="1" ht="17.25">
      <c r="A186" s="21"/>
      <c r="B186" s="24"/>
      <c r="C186" s="35"/>
      <c r="D186" s="35"/>
      <c r="E186" s="37"/>
      <c r="F186" s="37"/>
      <c r="G186" s="21"/>
      <c r="H186" s="21"/>
      <c r="I186" s="21"/>
      <c r="J186" s="43">
        <f>IFERROR(DATE((LEFT(B186,4)),MID(B186,5,2),RIGHT(B186,2)),"")</f>
        <v>25569.1875</v>
      </c>
      <c r="K186" s="21"/>
      <c r="L186" s="49">
        <f>IF(A186="Total Hours","",IF(J186="",L185,J186))</f>
        <v>25569.1875</v>
      </c>
      <c r="M186" s="50">
        <f>A186</f>
      </c>
      <c r="N186" s="17">
        <f>IF(C186="",IF(U186="",C186,""),C186)</f>
        <v>25569.1875</v>
      </c>
      <c r="O186" s="17">
        <f>IF(D186="",IF(U186="",D186,""),D186)</f>
        <v>25569.1875</v>
      </c>
      <c r="P186" s="17">
        <f>IFERROR(IF(N186&gt;O186,G186,O186-N186),"")</f>
        <v>25569.1875</v>
      </c>
      <c r="Q186" s="17">
        <f>IF(U186="",TIME(0,30,0),"")</f>
        <v>25569.1875</v>
      </c>
      <c r="R186" s="17">
        <f>IFERROR(IF(OR(IFERROR((P186-Q186)&lt;0,""),P186="Missing OUT"),"ATTENTION",P186-Q186),"")</f>
        <v>25569.1875</v>
      </c>
      <c r="S186" s="17">
        <f>TIME(8,0,0)</f>
        <v>25569.1875</v>
      </c>
      <c r="T186" s="17">
        <f>IFERROR(IF(R186="ATTENTION",TIME(8,0,0),IF(S186&gt;R186,S186-R186,R186-S186)),"")</f>
        <v>25569.1875</v>
      </c>
      <c r="U186" s="18">
        <f>IFERROR(VLOOKUP(L186,Calendar!$A$2:$C$261,3,0),"")</f>
      </c>
      <c r="V186" s="19">
        <f>IF(AND(LEN(C186)&gt;0,LEN(D186)=0),"NO CHECK-OUT","")</f>
      </c>
      <c r="W186" s="20">
        <f>IFERROR(IF(R186="",W185,IF(R186="ATTENTION",W185-S186,IF(S186&gt;R186,W185-T186,W185+T186))),"")</f>
        <v>25569.1875</v>
      </c>
    </row>
    <row x14ac:dyDescent="0.25" r="187" customHeight="1" ht="17.25">
      <c r="A187" s="21"/>
      <c r="B187" s="24"/>
      <c r="C187" s="35"/>
      <c r="D187" s="35"/>
      <c r="E187" s="37"/>
      <c r="F187" s="37"/>
      <c r="G187" s="21"/>
      <c r="H187" s="21"/>
      <c r="I187" s="21"/>
      <c r="J187" s="43">
        <f>IFERROR(DATE((LEFT(B187,4)),MID(B187,5,2),RIGHT(B187,2)),"")</f>
        <v>25569.1875</v>
      </c>
      <c r="K187" s="21"/>
      <c r="L187" s="49">
        <f>IF(A187="Total Hours","",IF(J187="",L186,J187))</f>
        <v>25569.1875</v>
      </c>
      <c r="M187" s="50">
        <f>A187</f>
      </c>
      <c r="N187" s="17">
        <f>IF(C187="",IF(U187="",C187,""),C187)</f>
        <v>25569.1875</v>
      </c>
      <c r="O187" s="17">
        <f>IF(D187="",IF(U187="",D187,""),D187)</f>
        <v>25569.1875</v>
      </c>
      <c r="P187" s="17">
        <f>IFERROR(IF(N187&gt;O187,G187,O187-N187),"")</f>
        <v>25569.1875</v>
      </c>
      <c r="Q187" s="17">
        <f>IF(U187="",TIME(0,30,0),"")</f>
        <v>25569.1875</v>
      </c>
      <c r="R187" s="17">
        <f>IFERROR(IF(OR(IFERROR((P187-Q187)&lt;0,""),P187="Missing OUT"),"ATTENTION",P187-Q187),"")</f>
        <v>25569.1875</v>
      </c>
      <c r="S187" s="17">
        <f>TIME(8,0,0)</f>
        <v>25569.1875</v>
      </c>
      <c r="T187" s="17">
        <f>IFERROR(IF(R187="ATTENTION",TIME(8,0,0),IF(S187&gt;R187,S187-R187,R187-S187)),"")</f>
        <v>25569.1875</v>
      </c>
      <c r="U187" s="18">
        <f>IFERROR(VLOOKUP(L187,Calendar!$A$2:$C$261,3,0),"")</f>
      </c>
      <c r="V187" s="19">
        <f>IF(AND(LEN(C187)&gt;0,LEN(D187)=0),"NO CHECK-OUT","")</f>
      </c>
      <c r="W187" s="20">
        <f>IFERROR(IF(R187="",W186,IF(R187="ATTENTION",W186-S187,IF(S187&gt;R187,W186-T187,W186+T187))),"")</f>
        <v>25569.1875</v>
      </c>
    </row>
    <row x14ac:dyDescent="0.25" r="188" customHeight="1" ht="17.25">
      <c r="A188" s="21"/>
      <c r="B188" s="24"/>
      <c r="C188" s="35"/>
      <c r="D188" s="35"/>
      <c r="E188" s="37"/>
      <c r="F188" s="37"/>
      <c r="G188" s="21"/>
      <c r="H188" s="21"/>
      <c r="I188" s="21"/>
      <c r="J188" s="43">
        <f>IFERROR(DATE((LEFT(B188,4)),MID(B188,5,2),RIGHT(B188,2)),"")</f>
        <v>25569.1875</v>
      </c>
      <c r="K188" s="21"/>
      <c r="L188" s="49">
        <f>IF(A188="Total Hours","",IF(J188="",L187,J188))</f>
        <v>25569.1875</v>
      </c>
      <c r="M188" s="50">
        <f>A188</f>
      </c>
      <c r="N188" s="17">
        <f>IF(C188="",IF(U188="",C188,""),C188)</f>
        <v>25569.1875</v>
      </c>
      <c r="O188" s="17">
        <f>IF(D188="",IF(U188="",D188,""),D188)</f>
        <v>25569.1875</v>
      </c>
      <c r="P188" s="17">
        <f>IFERROR(IF(N188&gt;O188,G188,O188-N188),"")</f>
        <v>25569.1875</v>
      </c>
      <c r="Q188" s="17">
        <f>IF(U188="",TIME(0,30,0),"")</f>
        <v>25569.1875</v>
      </c>
      <c r="R188" s="17">
        <f>IFERROR(IF(OR(IFERROR((P188-Q188)&lt;0,""),P188="Missing OUT"),"ATTENTION",P188-Q188),"")</f>
        <v>25569.1875</v>
      </c>
      <c r="S188" s="17">
        <f>TIME(8,0,0)</f>
        <v>25569.1875</v>
      </c>
      <c r="T188" s="17">
        <f>IFERROR(IF(R188="ATTENTION",TIME(8,0,0),IF(S188&gt;R188,S188-R188,R188-S188)),"")</f>
        <v>25569.1875</v>
      </c>
      <c r="U188" s="18">
        <f>IFERROR(VLOOKUP(L188,Calendar!$A$2:$C$261,3,0),"")</f>
      </c>
      <c r="V188" s="19">
        <f>IF(AND(LEN(C188)&gt;0,LEN(D188)=0),"NO CHECK-OUT","")</f>
      </c>
      <c r="W188" s="20">
        <f>IFERROR(IF(R188="",W187,IF(R188="ATTENTION",W187-S188,IF(S188&gt;R188,W187-T188,W187+T188))),"")</f>
        <v>25569.1875</v>
      </c>
    </row>
    <row x14ac:dyDescent="0.25" r="189" customHeight="1" ht="17.25">
      <c r="A189" s="21"/>
      <c r="B189" s="24"/>
      <c r="C189" s="35"/>
      <c r="D189" s="35"/>
      <c r="E189" s="37"/>
      <c r="F189" s="37"/>
      <c r="G189" s="21"/>
      <c r="H189" s="21"/>
      <c r="I189" s="21"/>
      <c r="J189" s="43">
        <f>IFERROR(DATE((LEFT(B189,4)),MID(B189,5,2),RIGHT(B189,2)),"")</f>
        <v>25569.1875</v>
      </c>
      <c r="K189" s="21"/>
      <c r="L189" s="49">
        <f>IF(A189="Total Hours","",IF(J189="",L188,J189))</f>
        <v>25569.1875</v>
      </c>
      <c r="M189" s="50">
        <f>A189</f>
      </c>
      <c r="N189" s="17">
        <f>IF(C189="",IF(U189="",C189,""),C189)</f>
        <v>25569.1875</v>
      </c>
      <c r="O189" s="17">
        <f>IF(D189="",IF(U189="",D189,""),D189)</f>
        <v>25569.1875</v>
      </c>
      <c r="P189" s="17">
        <f>IFERROR(IF(N189&gt;O189,G189,O189-N189),"")</f>
        <v>25569.1875</v>
      </c>
      <c r="Q189" s="17">
        <f>IF(U189="",TIME(0,30,0),"")</f>
        <v>25569.1875</v>
      </c>
      <c r="R189" s="17">
        <f>IFERROR(IF(OR(IFERROR((P189-Q189)&lt;0,""),P189="Missing OUT"),"ATTENTION",P189-Q189),"")</f>
        <v>25569.1875</v>
      </c>
      <c r="S189" s="17">
        <f>TIME(8,0,0)</f>
        <v>25569.1875</v>
      </c>
      <c r="T189" s="17">
        <f>IFERROR(IF(R189="ATTENTION",TIME(8,0,0),IF(S189&gt;R189,S189-R189,R189-S189)),"")</f>
        <v>25569.1875</v>
      </c>
      <c r="U189" s="18">
        <f>IFERROR(VLOOKUP(L189,Calendar!$A$2:$C$261,3,0),"")</f>
      </c>
      <c r="V189" s="19">
        <f>IF(AND(LEN(C189)&gt;0,LEN(D189)=0),"NO CHECK-OUT","")</f>
      </c>
      <c r="W189" s="20">
        <f>IFERROR(IF(R189="",W188,IF(R189="ATTENTION",W188-S189,IF(S189&gt;R189,W188-T189,W188+T189))),"")</f>
        <v>25569.1875</v>
      </c>
    </row>
    <row x14ac:dyDescent="0.25" r="190" customHeight="1" ht="17.25">
      <c r="A190" s="21"/>
      <c r="B190" s="24"/>
      <c r="C190" s="35"/>
      <c r="D190" s="35"/>
      <c r="E190" s="37"/>
      <c r="F190" s="37"/>
      <c r="G190" s="21"/>
      <c r="H190" s="21"/>
      <c r="I190" s="21"/>
      <c r="J190" s="43">
        <f>IFERROR(DATE((LEFT(B190,4)),MID(B190,5,2),RIGHT(B190,2)),"")</f>
        <v>25569.1875</v>
      </c>
      <c r="K190" s="21"/>
      <c r="L190" s="49">
        <f>IF(A190="Total Hours","",IF(J190="",L189,J190))</f>
        <v>25569.1875</v>
      </c>
      <c r="M190" s="50">
        <f>A190</f>
      </c>
      <c r="N190" s="17">
        <f>IF(C190="",IF(U190="",C190,""),C190)</f>
        <v>25569.1875</v>
      </c>
      <c r="O190" s="17">
        <f>IF(D190="",IF(U190="",D190,""),D190)</f>
        <v>25569.1875</v>
      </c>
      <c r="P190" s="17">
        <f>IFERROR(IF(N190&gt;O190,G190,O190-N190),"")</f>
        <v>25569.1875</v>
      </c>
      <c r="Q190" s="17">
        <f>IF(U190="",TIME(0,30,0),"")</f>
        <v>25569.1875</v>
      </c>
      <c r="R190" s="17">
        <f>IFERROR(IF(OR(IFERROR((P190-Q190)&lt;0,""),P190="Missing OUT"),"ATTENTION",P190-Q190),"")</f>
        <v>25569.1875</v>
      </c>
      <c r="S190" s="17">
        <f>TIME(8,0,0)</f>
        <v>25569.1875</v>
      </c>
      <c r="T190" s="17">
        <f>IFERROR(IF(R190="ATTENTION",TIME(8,0,0),IF(S190&gt;R190,S190-R190,R190-S190)),"")</f>
        <v>25569.1875</v>
      </c>
      <c r="U190" s="18">
        <f>IFERROR(VLOOKUP(L190,Calendar!$A$2:$C$261,3,0),"")</f>
      </c>
      <c r="V190" s="19">
        <f>IF(AND(LEN(C190)&gt;0,LEN(D190)=0),"NO CHECK-OUT","")</f>
      </c>
      <c r="W190" s="20">
        <f>IFERROR(IF(R190="",W189,IF(R190="ATTENTION",W189-S190,IF(S190&gt;R190,W189-T190,W189+T190))),"")</f>
        <v>25569.1875</v>
      </c>
    </row>
    <row x14ac:dyDescent="0.25" r="191" customHeight="1" ht="17.25">
      <c r="A191" s="21"/>
      <c r="B191" s="24"/>
      <c r="C191" s="35"/>
      <c r="D191" s="35"/>
      <c r="E191" s="37"/>
      <c r="F191" s="37"/>
      <c r="G191" s="21"/>
      <c r="H191" s="21"/>
      <c r="I191" s="21"/>
      <c r="J191" s="43">
        <f>IFERROR(DATE((LEFT(B191,4)),MID(B191,5,2),RIGHT(B191,2)),"")</f>
        <v>25569.1875</v>
      </c>
      <c r="K191" s="21"/>
      <c r="L191" s="49">
        <f>IF(A191="Total Hours","",IF(J191="",L190,J191))</f>
        <v>25569.1875</v>
      </c>
      <c r="M191" s="50">
        <f>A191</f>
      </c>
      <c r="N191" s="17">
        <f>IF(C191="",IF(U191="",C191,""),C191)</f>
        <v>25569.1875</v>
      </c>
      <c r="O191" s="17">
        <f>IF(D191="",IF(U191="",D191,""),D191)</f>
        <v>25569.1875</v>
      </c>
      <c r="P191" s="17">
        <f>IFERROR(IF(N191&gt;O191,G191,O191-N191),"")</f>
        <v>25569.1875</v>
      </c>
      <c r="Q191" s="17">
        <f>IF(U191="",TIME(0,30,0),"")</f>
        <v>25569.1875</v>
      </c>
      <c r="R191" s="17">
        <f>IFERROR(IF(OR(IFERROR((P191-Q191)&lt;0,""),P191="Missing OUT"),"ATTENTION",P191-Q191),"")</f>
        <v>25569.1875</v>
      </c>
      <c r="S191" s="17">
        <f>TIME(8,0,0)</f>
        <v>25569.1875</v>
      </c>
      <c r="T191" s="17">
        <f>IFERROR(IF(R191="ATTENTION",TIME(8,0,0),IF(S191&gt;R191,S191-R191,R191-S191)),"")</f>
        <v>25569.1875</v>
      </c>
      <c r="U191" s="18">
        <f>IFERROR(VLOOKUP(L191,Calendar!$A$2:$C$261,3,0),"")</f>
      </c>
      <c r="V191" s="19">
        <f>IF(AND(LEN(C191)&gt;0,LEN(D191)=0),"NO CHECK-OUT","")</f>
      </c>
      <c r="W191" s="20">
        <f>IFERROR(IF(R191="",W190,IF(R191="ATTENTION",W190-S191,IF(S191&gt;R191,W190-T191,W190+T191))),"")</f>
        <v>25569.1875</v>
      </c>
    </row>
    <row x14ac:dyDescent="0.25" r="192" customHeight="1" ht="17.25">
      <c r="A192" s="21"/>
      <c r="B192" s="24"/>
      <c r="C192" s="35"/>
      <c r="D192" s="35"/>
      <c r="E192" s="37"/>
      <c r="F192" s="37"/>
      <c r="G192" s="21"/>
      <c r="H192" s="21"/>
      <c r="I192" s="21"/>
      <c r="J192" s="43">
        <f>IFERROR(DATE((LEFT(B192,4)),MID(B192,5,2),RIGHT(B192,2)),"")</f>
        <v>25569.1875</v>
      </c>
      <c r="K192" s="21"/>
      <c r="L192" s="49">
        <f>IF(A192="Total Hours","",IF(J192="",L191,J192))</f>
        <v>25569.1875</v>
      </c>
      <c r="M192" s="50">
        <f>A192</f>
      </c>
      <c r="N192" s="17">
        <f>IF(C192="",IF(U192="",C192,""),C192)</f>
        <v>25569.1875</v>
      </c>
      <c r="O192" s="17">
        <f>IF(D192="",IF(U192="",D192,""),D192)</f>
        <v>25569.1875</v>
      </c>
      <c r="P192" s="17">
        <f>IFERROR(IF(N192&gt;O192,G192,O192-N192),"")</f>
        <v>25569.1875</v>
      </c>
      <c r="Q192" s="17">
        <f>IF(U192="",TIME(0,30,0),"")</f>
        <v>25569.1875</v>
      </c>
      <c r="R192" s="17">
        <f>IFERROR(IF(OR(IFERROR((P192-Q192)&lt;0,""),P192="Missing OUT"),"ATTENTION",P192-Q192),"")</f>
        <v>25569.1875</v>
      </c>
      <c r="S192" s="17">
        <f>TIME(8,0,0)</f>
        <v>25569.1875</v>
      </c>
      <c r="T192" s="17">
        <f>IFERROR(IF(R192="ATTENTION",TIME(8,0,0),IF(S192&gt;R192,S192-R192,R192-S192)),"")</f>
        <v>25569.1875</v>
      </c>
      <c r="U192" s="18">
        <f>IFERROR(VLOOKUP(L192,Calendar!$A$2:$C$261,3,0),"")</f>
      </c>
      <c r="V192" s="19">
        <f>IF(AND(LEN(C192)&gt;0,LEN(D192)=0),"NO CHECK-OUT","")</f>
      </c>
      <c r="W192" s="20">
        <f>IFERROR(IF(R192="",W191,IF(R192="ATTENTION",W191-S192,IF(S192&gt;R192,W191-T192,W191+T192))),"")</f>
        <v>25569.1875</v>
      </c>
    </row>
    <row x14ac:dyDescent="0.25" r="193" customHeight="1" ht="17.25">
      <c r="A193" s="21"/>
      <c r="B193" s="24"/>
      <c r="C193" s="35"/>
      <c r="D193" s="35"/>
      <c r="E193" s="37"/>
      <c r="F193" s="37"/>
      <c r="G193" s="21"/>
      <c r="H193" s="21"/>
      <c r="I193" s="21"/>
      <c r="J193" s="43">
        <f>IFERROR(DATE((LEFT(B193,4)),MID(B193,5,2),RIGHT(B193,2)),"")</f>
        <v>25569.1875</v>
      </c>
      <c r="K193" s="21"/>
      <c r="L193" s="49">
        <f>IF(A193="Total Hours","",IF(J193="",L192,J193))</f>
        <v>25569.1875</v>
      </c>
      <c r="M193" s="50">
        <f>A193</f>
      </c>
      <c r="N193" s="17">
        <f>IF(C193="",IF(U193="",C193,""),C193)</f>
        <v>25569.1875</v>
      </c>
      <c r="O193" s="17">
        <f>IF(D193="",IF(U193="",D193,""),D193)</f>
        <v>25569.1875</v>
      </c>
      <c r="P193" s="17">
        <f>IFERROR(IF(N193&gt;O193,G193,O193-N193),"")</f>
        <v>25569.1875</v>
      </c>
      <c r="Q193" s="17">
        <f>IF(U193="",TIME(0,30,0),"")</f>
        <v>25569.1875</v>
      </c>
      <c r="R193" s="17">
        <f>IFERROR(IF(OR(IFERROR((P193-Q193)&lt;0,""),P193="Missing OUT"),"ATTENTION",P193-Q193),"")</f>
        <v>25569.1875</v>
      </c>
      <c r="S193" s="17">
        <f>TIME(8,0,0)</f>
        <v>25569.1875</v>
      </c>
      <c r="T193" s="17">
        <f>IFERROR(IF(R193="ATTENTION",TIME(8,0,0),IF(S193&gt;R193,S193-R193,R193-S193)),"")</f>
        <v>25569.1875</v>
      </c>
      <c r="U193" s="18">
        <f>IFERROR(VLOOKUP(L193,Calendar!$A$2:$C$261,3,0),"")</f>
      </c>
      <c r="V193" s="19">
        <f>IF(AND(LEN(C193)&gt;0,LEN(D193)=0),"NO CHECK-OUT","")</f>
      </c>
      <c r="W193" s="20">
        <f>IFERROR(IF(R193="",W192,IF(R193="ATTENTION",W192-S193,IF(S193&gt;R193,W192-T193,W192+T193))),"")</f>
        <v>25569.1875</v>
      </c>
    </row>
    <row x14ac:dyDescent="0.25" r="194" customHeight="1" ht="17.25">
      <c r="A194" s="21"/>
      <c r="B194" s="24"/>
      <c r="C194" s="35"/>
      <c r="D194" s="35"/>
      <c r="E194" s="37"/>
      <c r="F194" s="37"/>
      <c r="G194" s="21"/>
      <c r="H194" s="21"/>
      <c r="I194" s="21"/>
      <c r="J194" s="43">
        <f>IFERROR(DATE((LEFT(B194,4)),MID(B194,5,2),RIGHT(B194,2)),"")</f>
        <v>25569.1875</v>
      </c>
      <c r="K194" s="21"/>
      <c r="L194" s="49">
        <f>IF(A194="Total Hours","",IF(J194="",L193,J194))</f>
        <v>25569.1875</v>
      </c>
      <c r="M194" s="50">
        <f>A194</f>
      </c>
      <c r="N194" s="17">
        <f>IF(C194="",IF(U194="",C194,""),C194)</f>
        <v>25569.1875</v>
      </c>
      <c r="O194" s="17">
        <f>IF(D194="",IF(U194="",D194,""),D194)</f>
        <v>25569.1875</v>
      </c>
      <c r="P194" s="17">
        <f>IFERROR(IF(N194&gt;O194,G194,O194-N194),"")</f>
        <v>25569.1875</v>
      </c>
      <c r="Q194" s="17">
        <f>IF(U194="",TIME(0,30,0),"")</f>
        <v>25569.1875</v>
      </c>
      <c r="R194" s="17">
        <f>IFERROR(IF(OR(IFERROR((P194-Q194)&lt;0,""),P194="Missing OUT"),"ATTENTION",P194-Q194),"")</f>
        <v>25569.1875</v>
      </c>
      <c r="S194" s="17">
        <f>TIME(8,0,0)</f>
        <v>25569.1875</v>
      </c>
      <c r="T194" s="17">
        <f>IFERROR(IF(R194="ATTENTION",TIME(8,0,0),IF(S194&gt;R194,S194-R194,R194-S194)),"")</f>
        <v>25569.1875</v>
      </c>
      <c r="U194" s="18">
        <f>IFERROR(VLOOKUP(L194,Calendar!$A$2:$C$261,3,0),"")</f>
      </c>
      <c r="V194" s="19">
        <f>IF(AND(LEN(C194)&gt;0,LEN(D194)=0),"NO CHECK-OUT","")</f>
      </c>
      <c r="W194" s="20">
        <f>IFERROR(IF(R194="",W193,IF(R194="ATTENTION",W193-S194,IF(S194&gt;R194,W193-T194,W193+T194))),"")</f>
        <v>25569.1875</v>
      </c>
    </row>
    <row x14ac:dyDescent="0.25" r="195" customHeight="1" ht="17.25">
      <c r="A195" s="21"/>
      <c r="B195" s="24"/>
      <c r="C195" s="35"/>
      <c r="D195" s="35"/>
      <c r="E195" s="37"/>
      <c r="F195" s="37"/>
      <c r="G195" s="21"/>
      <c r="H195" s="21"/>
      <c r="I195" s="21"/>
      <c r="J195" s="43">
        <f>IFERROR(DATE((LEFT(B195,4)),MID(B195,5,2),RIGHT(B195,2)),"")</f>
        <v>25569.1875</v>
      </c>
      <c r="K195" s="21"/>
      <c r="L195" s="49">
        <f>IF(A195="Total Hours","",IF(J195="",L194,J195))</f>
        <v>25569.1875</v>
      </c>
      <c r="M195" s="50">
        <f>A195</f>
      </c>
      <c r="N195" s="17">
        <f>IF(C195="",IF(U195="",C195,""),C195)</f>
        <v>25569.1875</v>
      </c>
      <c r="O195" s="17">
        <f>IF(D195="",IF(U195="",D195,""),D195)</f>
        <v>25569.1875</v>
      </c>
      <c r="P195" s="17">
        <f>IFERROR(IF(N195&gt;O195,G195,O195-N195),"")</f>
        <v>25569.1875</v>
      </c>
      <c r="Q195" s="17">
        <f>IF(U195="",TIME(0,30,0),"")</f>
        <v>25569.1875</v>
      </c>
      <c r="R195" s="17">
        <f>IFERROR(IF(OR(IFERROR((P195-Q195)&lt;0,""),P195="Missing OUT"),"ATTENTION",P195-Q195),"")</f>
        <v>25569.1875</v>
      </c>
      <c r="S195" s="17">
        <f>TIME(8,0,0)</f>
        <v>25569.1875</v>
      </c>
      <c r="T195" s="17">
        <f>IFERROR(IF(R195="ATTENTION",TIME(8,0,0),IF(S195&gt;R195,S195-R195,R195-S195)),"")</f>
        <v>25569.1875</v>
      </c>
      <c r="U195" s="18">
        <f>IFERROR(VLOOKUP(L195,Calendar!$A$2:$C$261,3,0),"")</f>
      </c>
      <c r="V195" s="19">
        <f>IF(AND(LEN(C195)&gt;0,LEN(D195)=0),"NO CHECK-OUT","")</f>
      </c>
      <c r="W195" s="20">
        <f>IFERROR(IF(R195="",W194,IF(R195="ATTENTION",W194-S195,IF(S195&gt;R195,W194-T195,W194+T195))),"")</f>
        <v>25569.1875</v>
      </c>
    </row>
    <row x14ac:dyDescent="0.25" r="196" customHeight="1" ht="17.25">
      <c r="A196" s="21"/>
      <c r="B196" s="24"/>
      <c r="C196" s="35"/>
      <c r="D196" s="35"/>
      <c r="E196" s="37"/>
      <c r="F196" s="37"/>
      <c r="G196" s="21"/>
      <c r="H196" s="21"/>
      <c r="I196" s="21"/>
      <c r="J196" s="43">
        <f>IFERROR(DATE((LEFT(B196,4)),MID(B196,5,2),RIGHT(B196,2)),"")</f>
        <v>25569.1875</v>
      </c>
      <c r="K196" s="21"/>
      <c r="L196" s="49">
        <f>IF(A196="Total Hours","",IF(J196="",L195,J196))</f>
        <v>25569.1875</v>
      </c>
      <c r="M196" s="50">
        <f>A196</f>
      </c>
      <c r="N196" s="17">
        <f>IF(C196="",IF(U196="",C196,""),C196)</f>
        <v>25569.1875</v>
      </c>
      <c r="O196" s="17">
        <f>IF(D196="",IF(U196="",D196,""),D196)</f>
        <v>25569.1875</v>
      </c>
      <c r="P196" s="17">
        <f>IFERROR(IF(N196&gt;O196,G196,O196-N196),"")</f>
        <v>25569.1875</v>
      </c>
      <c r="Q196" s="17">
        <f>IF(U196="",TIME(0,30,0),"")</f>
        <v>25569.1875</v>
      </c>
      <c r="R196" s="17">
        <f>IFERROR(IF(OR(IFERROR((P196-Q196)&lt;0,""),P196="Missing OUT"),"ATTENTION",P196-Q196),"")</f>
        <v>25569.1875</v>
      </c>
      <c r="S196" s="17">
        <f>TIME(8,0,0)</f>
        <v>25569.1875</v>
      </c>
      <c r="T196" s="17">
        <f>IFERROR(IF(R196="ATTENTION",TIME(8,0,0),IF(S196&gt;R196,S196-R196,R196-S196)),"")</f>
        <v>25569.1875</v>
      </c>
      <c r="U196" s="18">
        <f>IFERROR(VLOOKUP(L196,Calendar!$A$2:$C$261,3,0),"")</f>
      </c>
      <c r="V196" s="19">
        <f>IF(AND(LEN(C196)&gt;0,LEN(D196)=0),"NO CHECK-OUT","")</f>
      </c>
      <c r="W196" s="20">
        <f>IFERROR(IF(R196="",W195,IF(R196="ATTENTION",W195-S196,IF(S196&gt;R196,W195-T196,W195+T196))),"")</f>
        <v>25569.1875</v>
      </c>
    </row>
    <row x14ac:dyDescent="0.25" r="197" customHeight="1" ht="17.25">
      <c r="A197" s="21"/>
      <c r="B197" s="24"/>
      <c r="C197" s="35"/>
      <c r="D197" s="35"/>
      <c r="E197" s="37"/>
      <c r="F197" s="37"/>
      <c r="G197" s="21"/>
      <c r="H197" s="21"/>
      <c r="I197" s="21"/>
      <c r="J197" s="43">
        <f>IFERROR(DATE((LEFT(B197,4)),MID(B197,5,2),RIGHT(B197,2)),"")</f>
        <v>25569.1875</v>
      </c>
      <c r="K197" s="21"/>
      <c r="L197" s="49">
        <f>IF(A197="Total Hours","",IF(J197="",L196,J197))</f>
        <v>25569.1875</v>
      </c>
      <c r="M197" s="50">
        <f>A197</f>
      </c>
      <c r="N197" s="17">
        <f>IF(C197="",IF(U197="",C197,""),C197)</f>
        <v>25569.1875</v>
      </c>
      <c r="O197" s="17">
        <f>IF(D197="",IF(U197="",D197,""),D197)</f>
        <v>25569.1875</v>
      </c>
      <c r="P197" s="17">
        <f>IFERROR(IF(N197&gt;O197,G197,O197-N197),"")</f>
        <v>25569.1875</v>
      </c>
      <c r="Q197" s="17">
        <f>IF(U197="",TIME(0,30,0),"")</f>
        <v>25569.1875</v>
      </c>
      <c r="R197" s="17">
        <f>IFERROR(IF(OR(IFERROR((P197-Q197)&lt;0,""),P197="Missing OUT"),"ATTENTION",P197-Q197),"")</f>
        <v>25569.1875</v>
      </c>
      <c r="S197" s="17">
        <f>TIME(8,0,0)</f>
        <v>25569.1875</v>
      </c>
      <c r="T197" s="17">
        <f>IFERROR(IF(R197="ATTENTION",TIME(8,0,0),IF(S197&gt;R197,S197-R197,R197-S197)),"")</f>
        <v>25569.1875</v>
      </c>
      <c r="U197" s="18">
        <f>IFERROR(VLOOKUP(L197,Calendar!$A$2:$C$261,3,0),"")</f>
      </c>
      <c r="V197" s="19">
        <f>IF(AND(LEN(C197)&gt;0,LEN(D197)=0),"NO CHECK-OUT","")</f>
      </c>
      <c r="W197" s="20">
        <f>IFERROR(IF(R197="",W196,IF(R197="ATTENTION",W196-S197,IF(S197&gt;R197,W196-T197,W196+T197))),"")</f>
        <v>25569.1875</v>
      </c>
    </row>
    <row x14ac:dyDescent="0.25" r="198" customHeight="1" ht="17.25">
      <c r="A198" s="21"/>
      <c r="B198" s="24"/>
      <c r="C198" s="35"/>
      <c r="D198" s="35"/>
      <c r="E198" s="37"/>
      <c r="F198" s="37"/>
      <c r="G198" s="21"/>
      <c r="H198" s="21"/>
      <c r="I198" s="21"/>
      <c r="J198" s="43">
        <f>IFERROR(DATE((LEFT(B198,4)),MID(B198,5,2),RIGHT(B198,2)),"")</f>
        <v>25569.1875</v>
      </c>
      <c r="K198" s="21"/>
      <c r="L198" s="49">
        <f>IF(A198="Total Hours","",IF(J198="",L197,J198))</f>
        <v>25569.1875</v>
      </c>
      <c r="M198" s="50">
        <f>A198</f>
      </c>
      <c r="N198" s="17">
        <f>IF(C198="",IF(U198="",C198,""),C198)</f>
        <v>25569.1875</v>
      </c>
      <c r="O198" s="17">
        <f>IF(D198="",IF(U198="",D198,""),D198)</f>
        <v>25569.1875</v>
      </c>
      <c r="P198" s="17">
        <f>IFERROR(IF(N198&gt;O198,G198,O198-N198),"")</f>
        <v>25569.1875</v>
      </c>
      <c r="Q198" s="17">
        <f>IF(U198="",TIME(0,30,0),"")</f>
        <v>25569.1875</v>
      </c>
      <c r="R198" s="17">
        <f>IFERROR(IF(OR(IFERROR((P198-Q198)&lt;0,""),P198="Missing OUT"),"ATTENTION",P198-Q198),"")</f>
        <v>25569.1875</v>
      </c>
      <c r="S198" s="17">
        <f>TIME(8,0,0)</f>
        <v>25569.1875</v>
      </c>
      <c r="T198" s="17">
        <f>IFERROR(IF(R198="ATTENTION",TIME(8,0,0),IF(S198&gt;R198,S198-R198,R198-S198)),"")</f>
        <v>25569.1875</v>
      </c>
      <c r="U198" s="18">
        <f>IFERROR(VLOOKUP(L198,Calendar!$A$2:$C$261,3,0),"")</f>
      </c>
      <c r="V198" s="19">
        <f>IF(AND(LEN(C198)&gt;0,LEN(D198)=0),"NO CHECK-OUT","")</f>
      </c>
      <c r="W198" s="20">
        <f>IFERROR(IF(R198="",W197,IF(R198="ATTENTION",W197-S198,IF(S198&gt;R198,W197-T198,W197+T198))),"")</f>
        <v>25569.1875</v>
      </c>
    </row>
    <row x14ac:dyDescent="0.25" r="199" customHeight="1" ht="17.25">
      <c r="A199" s="21"/>
      <c r="B199" s="24"/>
      <c r="C199" s="35"/>
      <c r="D199" s="35"/>
      <c r="E199" s="37"/>
      <c r="F199" s="37"/>
      <c r="G199" s="21"/>
      <c r="H199" s="21"/>
      <c r="I199" s="21"/>
      <c r="J199" s="43">
        <f>IFERROR(DATE((LEFT(B199,4)),MID(B199,5,2),RIGHT(B199,2)),"")</f>
        <v>25569.1875</v>
      </c>
      <c r="K199" s="21"/>
      <c r="L199" s="49">
        <f>IF(A199="Total Hours","",IF(J199="",L198,J199))</f>
        <v>25569.1875</v>
      </c>
      <c r="M199" s="50">
        <f>A199</f>
      </c>
      <c r="N199" s="17">
        <f>IF(C199="",IF(U199="",C199,""),C199)</f>
        <v>25569.1875</v>
      </c>
      <c r="O199" s="17">
        <f>IF(D199="",IF(U199="",D199,""),D199)</f>
        <v>25569.1875</v>
      </c>
      <c r="P199" s="17">
        <f>IFERROR(IF(N199&gt;O199,G199,O199-N199),"")</f>
        <v>25569.1875</v>
      </c>
      <c r="Q199" s="17">
        <f>IF(U199="",TIME(0,30,0),"")</f>
        <v>25569.1875</v>
      </c>
      <c r="R199" s="17">
        <f>IFERROR(IF(OR(IFERROR((P199-Q199)&lt;0,""),P199="Missing OUT"),"ATTENTION",P199-Q199),"")</f>
        <v>25569.1875</v>
      </c>
      <c r="S199" s="17">
        <f>TIME(8,0,0)</f>
        <v>25569.1875</v>
      </c>
      <c r="T199" s="17">
        <f>IFERROR(IF(R199="ATTENTION",TIME(8,0,0),IF(S199&gt;R199,S199-R199,R199-S199)),"")</f>
        <v>25569.1875</v>
      </c>
      <c r="U199" s="18">
        <f>IFERROR(VLOOKUP(L199,Calendar!$A$2:$C$261,3,0),"")</f>
      </c>
      <c r="V199" s="19">
        <f>IF(AND(LEN(C199)&gt;0,LEN(D199)=0),"NO CHECK-OUT","")</f>
      </c>
      <c r="W199" s="20">
        <f>IFERROR(IF(R199="",W198,IF(R199="ATTENTION",W198-S199,IF(S199&gt;R199,W198-T199,W198+T199))),"")</f>
        <v>25569.1875</v>
      </c>
    </row>
    <row x14ac:dyDescent="0.25" r="200" customHeight="1" ht="17.25">
      <c r="A200" s="21"/>
      <c r="B200" s="24"/>
      <c r="C200" s="35"/>
      <c r="D200" s="35"/>
      <c r="E200" s="37"/>
      <c r="F200" s="37"/>
      <c r="G200" s="21"/>
      <c r="H200" s="21"/>
      <c r="I200" s="21"/>
      <c r="J200" s="43">
        <f>IFERROR(DATE((LEFT(B200,4)),MID(B200,5,2),RIGHT(B200,2)),"")</f>
        <v>25569.1875</v>
      </c>
      <c r="K200" s="21"/>
      <c r="L200" s="49">
        <f>IF(A200="Total Hours","",IF(J200="",L199,J200))</f>
        <v>25569.1875</v>
      </c>
      <c r="M200" s="50">
        <f>A200</f>
      </c>
      <c r="N200" s="17">
        <f>IF(C200="",IF(U200="",C200,""),C200)</f>
        <v>25569.1875</v>
      </c>
      <c r="O200" s="17">
        <f>IF(D200="",IF(U200="",D200,""),D200)</f>
        <v>25569.1875</v>
      </c>
      <c r="P200" s="17">
        <f>IFERROR(IF(N200&gt;O200,G200,O200-N200),"")</f>
        <v>25569.1875</v>
      </c>
      <c r="Q200" s="17">
        <f>IF(U200="",TIME(0,30,0),"")</f>
        <v>25569.1875</v>
      </c>
      <c r="R200" s="17">
        <f>IFERROR(IF(OR(IFERROR((P200-Q200)&lt;0,""),P200="Missing OUT"),"ATTENTION",P200-Q200),"")</f>
        <v>25569.1875</v>
      </c>
      <c r="S200" s="17">
        <f>TIME(8,0,0)</f>
        <v>25569.1875</v>
      </c>
      <c r="T200" s="17">
        <f>IFERROR(IF(R200="ATTENTION",TIME(8,0,0),IF(S200&gt;R200,S200-R200,R200-S200)),"")</f>
        <v>25569.1875</v>
      </c>
      <c r="U200" s="18">
        <f>IFERROR(VLOOKUP(L200,Calendar!$A$2:$C$261,3,0),"")</f>
      </c>
      <c r="V200" s="19">
        <f>IF(AND(LEN(C200)&gt;0,LEN(D200)=0),"NO CHECK-OUT","")</f>
      </c>
      <c r="W200" s="20">
        <f>IFERROR(IF(R200="",W199,IF(R200="ATTENTION",W199-S200,IF(S200&gt;R200,W199-T200,W199+T200))),"")</f>
        <v>25569.1875</v>
      </c>
    </row>
    <row x14ac:dyDescent="0.25" r="201" customHeight="1" ht="17.25">
      <c r="A201" s="21"/>
      <c r="B201" s="24"/>
      <c r="C201" s="35"/>
      <c r="D201" s="35"/>
      <c r="E201" s="37"/>
      <c r="F201" s="37"/>
      <c r="G201" s="21"/>
      <c r="H201" s="21"/>
      <c r="I201" s="21"/>
      <c r="J201" s="43">
        <f>IFERROR(DATE((LEFT(B201,4)),MID(B201,5,2),RIGHT(B201,2)),"")</f>
        <v>25569.1875</v>
      </c>
      <c r="K201" s="21"/>
      <c r="L201" s="49">
        <f>IF(A201="Total Hours","",IF(J201="",L200,J201))</f>
        <v>25569.1875</v>
      </c>
      <c r="M201" s="50">
        <f>A201</f>
      </c>
      <c r="N201" s="17">
        <f>IF(C201="",IF(U201="",C201,""),C201)</f>
        <v>25569.1875</v>
      </c>
      <c r="O201" s="17">
        <f>IF(D201="",IF(U201="",D201,""),D201)</f>
        <v>25569.1875</v>
      </c>
      <c r="P201" s="17">
        <f>IFERROR(IF(N201&gt;O201,G201,O201-N201),"")</f>
        <v>25569.1875</v>
      </c>
      <c r="Q201" s="17">
        <f>IF(U201="",TIME(0,30,0),"")</f>
        <v>25569.1875</v>
      </c>
      <c r="R201" s="17">
        <f>IFERROR(IF(OR(IFERROR((P201-Q201)&lt;0,""),P201="Missing OUT"),"ATTENTION",P201-Q201),"")</f>
        <v>25569.1875</v>
      </c>
      <c r="S201" s="17">
        <f>TIME(8,0,0)</f>
        <v>25569.1875</v>
      </c>
      <c r="T201" s="17">
        <f>IFERROR(IF(R201="ATTENTION",TIME(8,0,0),IF(S201&gt;R201,S201-R201,R201-S201)),"")</f>
        <v>25569.1875</v>
      </c>
      <c r="U201" s="18">
        <f>IFERROR(VLOOKUP(L201,Calendar!$A$2:$C$261,3,0),"")</f>
      </c>
      <c r="V201" s="19">
        <f>IF(AND(LEN(C201)&gt;0,LEN(D201)=0),"NO CHECK-OUT","")</f>
      </c>
      <c r="W201" s="20">
        <f>IFERROR(IF(R201="",W200,IF(R201="ATTENTION",W200-S201,IF(S201&gt;R201,W200-T201,W200+T201))),"")</f>
        <v>25569.1875</v>
      </c>
    </row>
    <row x14ac:dyDescent="0.25" r="202" customHeight="1" ht="17.25">
      <c r="A202" s="21"/>
      <c r="B202" s="24"/>
      <c r="C202" s="35"/>
      <c r="D202" s="35"/>
      <c r="E202" s="37"/>
      <c r="F202" s="37"/>
      <c r="G202" s="21"/>
      <c r="H202" s="21"/>
      <c r="I202" s="21"/>
      <c r="J202" s="43">
        <f>IFERROR(DATE((LEFT(B202,4)),MID(B202,5,2),RIGHT(B202,2)),"")</f>
        <v>25569.1875</v>
      </c>
      <c r="K202" s="21"/>
      <c r="L202" s="49">
        <f>IF(A202="Total Hours","",IF(J202="",L201,J202))</f>
        <v>25569.1875</v>
      </c>
      <c r="M202" s="50">
        <f>A202</f>
      </c>
      <c r="N202" s="17">
        <f>IF(C202="",IF(U202="",C202,""),C202)</f>
        <v>25569.1875</v>
      </c>
      <c r="O202" s="17">
        <f>IF(D202="",IF(U202="",D202,""),D202)</f>
        <v>25569.1875</v>
      </c>
      <c r="P202" s="17">
        <f>IFERROR(IF(N202&gt;O202,G202,O202-N202),"")</f>
        <v>25569.1875</v>
      </c>
      <c r="Q202" s="17">
        <f>IF(U202="",TIME(0,30,0),"")</f>
        <v>25569.1875</v>
      </c>
      <c r="R202" s="17">
        <f>IFERROR(IF(OR(IFERROR((P202-Q202)&lt;0,""),P202="Missing OUT"),"ATTENTION",P202-Q202),"")</f>
        <v>25569.1875</v>
      </c>
      <c r="S202" s="17">
        <f>TIME(8,0,0)</f>
        <v>25569.1875</v>
      </c>
      <c r="T202" s="17">
        <f>IFERROR(IF(R202="ATTENTION",TIME(8,0,0),IF(S202&gt;R202,S202-R202,R202-S202)),"")</f>
        <v>25569.1875</v>
      </c>
      <c r="U202" s="18">
        <f>IFERROR(VLOOKUP(L202,Calendar!$A$2:$C$261,3,0),"")</f>
      </c>
      <c r="V202" s="19">
        <f>IF(AND(LEN(C202)&gt;0,LEN(D202)=0),"NO CHECK-OUT","")</f>
      </c>
      <c r="W202" s="20">
        <f>IFERROR(IF(R202="",W201,IF(R202="ATTENTION",W201-S202,IF(S202&gt;R202,W201-T202,W201+T202))),"")</f>
        <v>25569.1875</v>
      </c>
    </row>
    <row x14ac:dyDescent="0.25" r="203" customHeight="1" ht="17.25">
      <c r="A203" s="21"/>
      <c r="B203" s="24"/>
      <c r="C203" s="35"/>
      <c r="D203" s="35"/>
      <c r="E203" s="37"/>
      <c r="F203" s="37"/>
      <c r="G203" s="21"/>
      <c r="H203" s="21"/>
      <c r="I203" s="21"/>
      <c r="J203" s="43">
        <f>IFERROR(DATE((LEFT(B203,4)),MID(B203,5,2),RIGHT(B203,2)),"")</f>
        <v>25569.1875</v>
      </c>
      <c r="K203" s="21"/>
      <c r="L203" s="49">
        <f>IF(A203="Total Hours","",IF(J203="",L202,J203))</f>
        <v>25569.1875</v>
      </c>
      <c r="M203" s="50">
        <f>A203</f>
      </c>
      <c r="N203" s="17">
        <f>IF(C203="",IF(U203="",C203,""),C203)</f>
        <v>25569.1875</v>
      </c>
      <c r="O203" s="17">
        <f>IF(D203="",IF(U203="",D203,""),D203)</f>
        <v>25569.1875</v>
      </c>
      <c r="P203" s="17">
        <f>IFERROR(IF(N203&gt;O203,G203,O203-N203),"")</f>
        <v>25569.1875</v>
      </c>
      <c r="Q203" s="17">
        <f>IF(U203="",TIME(0,30,0),"")</f>
        <v>25569.1875</v>
      </c>
      <c r="R203" s="17">
        <f>IFERROR(IF(OR(IFERROR((P203-Q203)&lt;0,""),P203="Missing OUT"),"ATTENTION",P203-Q203),"")</f>
        <v>25569.1875</v>
      </c>
      <c r="S203" s="17">
        <f>TIME(8,0,0)</f>
        <v>25569.1875</v>
      </c>
      <c r="T203" s="17">
        <f>IFERROR(IF(R203="ATTENTION",TIME(8,0,0),IF(S203&gt;R203,S203-R203,R203-S203)),"")</f>
        <v>25569.1875</v>
      </c>
      <c r="U203" s="18">
        <f>IFERROR(VLOOKUP(L203,Calendar!$A$2:$C$261,3,0),"")</f>
      </c>
      <c r="V203" s="19">
        <f>IF(AND(LEN(C203)&gt;0,LEN(D203)=0),"NO CHECK-OUT","")</f>
      </c>
      <c r="W203" s="20">
        <f>IFERROR(IF(R203="",W202,IF(R203="ATTENTION",W202-S203,IF(S203&gt;R203,W202-T203,W202+T203))),"")</f>
        <v>25569.1875</v>
      </c>
    </row>
    <row x14ac:dyDescent="0.25" r="204" customHeight="1" ht="17.25">
      <c r="A204" s="21"/>
      <c r="B204" s="24"/>
      <c r="C204" s="35"/>
      <c r="D204" s="35"/>
      <c r="E204" s="37"/>
      <c r="F204" s="37"/>
      <c r="G204" s="21"/>
      <c r="H204" s="21"/>
      <c r="I204" s="21"/>
      <c r="J204" s="43">
        <f>IFERROR(DATE((LEFT(B204,4)),MID(B204,5,2),RIGHT(B204,2)),"")</f>
        <v>25569.1875</v>
      </c>
      <c r="K204" s="21"/>
      <c r="L204" s="49">
        <f>IF(A204="Total Hours","",IF(J204="",L203,J204))</f>
        <v>25569.1875</v>
      </c>
      <c r="M204" s="50">
        <f>A204</f>
      </c>
      <c r="N204" s="17">
        <f>IF(C204="",IF(U204="",C204,""),C204)</f>
        <v>25569.1875</v>
      </c>
      <c r="O204" s="17">
        <f>IF(D204="",IF(U204="",D204,""),D204)</f>
        <v>25569.1875</v>
      </c>
      <c r="P204" s="17">
        <f>IFERROR(IF(N204&gt;O204,G204,O204-N204),"")</f>
        <v>25569.1875</v>
      </c>
      <c r="Q204" s="17">
        <f>IF(U204="",TIME(0,30,0),"")</f>
        <v>25569.1875</v>
      </c>
      <c r="R204" s="17">
        <f>IFERROR(IF(OR(IFERROR((P204-Q204)&lt;0,""),P204="Missing OUT"),"ATTENTION",P204-Q204),"")</f>
        <v>25569.1875</v>
      </c>
      <c r="S204" s="17">
        <f>TIME(8,0,0)</f>
        <v>25569.1875</v>
      </c>
      <c r="T204" s="17">
        <f>IFERROR(IF(R204="ATTENTION",TIME(8,0,0),IF(S204&gt;R204,S204-R204,R204-S204)),"")</f>
        <v>25569.1875</v>
      </c>
      <c r="U204" s="18">
        <f>IFERROR(VLOOKUP(L204,Calendar!$A$2:$C$261,3,0),"")</f>
      </c>
      <c r="V204" s="19">
        <f>IF(AND(LEN(C204)&gt;0,LEN(D204)=0),"NO CHECK-OUT","")</f>
      </c>
      <c r="W204" s="20">
        <f>IFERROR(IF(R204="",W203,IF(R204="ATTENTION",W203-S204,IF(S204&gt;R204,W203-T204,W203+T204))),"")</f>
        <v>25569.1875</v>
      </c>
    </row>
    <row x14ac:dyDescent="0.25" r="205" customHeight="1" ht="17.25">
      <c r="A205" s="21"/>
      <c r="B205" s="24"/>
      <c r="C205" s="35"/>
      <c r="D205" s="35"/>
      <c r="E205" s="37"/>
      <c r="F205" s="37"/>
      <c r="G205" s="21"/>
      <c r="H205" s="21"/>
      <c r="I205" s="21"/>
      <c r="J205" s="43">
        <f>IFERROR(DATE((LEFT(B205,4)),MID(B205,5,2),RIGHT(B205,2)),"")</f>
        <v>25569.1875</v>
      </c>
      <c r="K205" s="21"/>
      <c r="L205" s="49">
        <f>IF(A205="Total Hours","",IF(J205="",L204,J205))</f>
        <v>25569.1875</v>
      </c>
      <c r="M205" s="50">
        <f>A205</f>
      </c>
      <c r="N205" s="17">
        <f>IF(C205="",IF(U205="",C205,""),C205)</f>
        <v>25569.1875</v>
      </c>
      <c r="O205" s="17">
        <f>IF(D205="",IF(U205="",D205,""),D205)</f>
        <v>25569.1875</v>
      </c>
      <c r="P205" s="17">
        <f>IFERROR(IF(N205&gt;O205,G205,O205-N205),"")</f>
        <v>25569.1875</v>
      </c>
      <c r="Q205" s="17">
        <f>IF(U205="",TIME(0,30,0),"")</f>
        <v>25569.1875</v>
      </c>
      <c r="R205" s="17">
        <f>IFERROR(IF(OR(IFERROR((P205-Q205)&lt;0,""),P205="Missing OUT"),"ATTENTION",P205-Q205),"")</f>
        <v>25569.1875</v>
      </c>
      <c r="S205" s="17">
        <f>TIME(8,0,0)</f>
        <v>25569.1875</v>
      </c>
      <c r="T205" s="17">
        <f>IFERROR(IF(R205="ATTENTION",TIME(8,0,0),IF(S205&gt;R205,S205-R205,R205-S205)),"")</f>
        <v>25569.1875</v>
      </c>
      <c r="U205" s="18">
        <f>IFERROR(VLOOKUP(L205,Calendar!$A$2:$C$261,3,0),"")</f>
      </c>
      <c r="V205" s="19">
        <f>IF(AND(LEN(C205)&gt;0,LEN(D205)=0),"NO CHECK-OUT","")</f>
      </c>
      <c r="W205" s="20">
        <f>IFERROR(IF(R205="",W204,IF(R205="ATTENTION",W204-S205,IF(S205&gt;R205,W204-T205,W204+T205))),"")</f>
        <v>25569.1875</v>
      </c>
    </row>
    <row x14ac:dyDescent="0.25" r="206" customHeight="1" ht="17.25">
      <c r="A206" s="21"/>
      <c r="B206" s="24"/>
      <c r="C206" s="35"/>
      <c r="D206" s="35"/>
      <c r="E206" s="37"/>
      <c r="F206" s="37"/>
      <c r="G206" s="21"/>
      <c r="H206" s="21"/>
      <c r="I206" s="21"/>
      <c r="J206" s="43">
        <f>IFERROR(DATE((LEFT(B206,4)),MID(B206,5,2),RIGHT(B206,2)),"")</f>
        <v>25569.1875</v>
      </c>
      <c r="K206" s="21"/>
      <c r="L206" s="49">
        <f>IF(A206="Total Hours","",IF(J206="",L205,J206))</f>
        <v>25569.1875</v>
      </c>
      <c r="M206" s="50">
        <f>A206</f>
      </c>
      <c r="N206" s="17">
        <f>IF(C206="",IF(U206="",C206,""),C206)</f>
        <v>25569.1875</v>
      </c>
      <c r="O206" s="17">
        <f>IF(D206="",IF(U206="",D206,""),D206)</f>
        <v>25569.1875</v>
      </c>
      <c r="P206" s="17">
        <f>IFERROR(IF(N206&gt;O206,G206,O206-N206),"")</f>
        <v>25569.1875</v>
      </c>
      <c r="Q206" s="17">
        <f>IF(U206="",TIME(0,30,0),"")</f>
        <v>25569.1875</v>
      </c>
      <c r="R206" s="17">
        <f>IFERROR(IF(OR(IFERROR((P206-Q206)&lt;0,""),P206="Missing OUT"),"ATTENTION",P206-Q206),"")</f>
        <v>25569.1875</v>
      </c>
      <c r="S206" s="17">
        <f>TIME(8,0,0)</f>
        <v>25569.1875</v>
      </c>
      <c r="T206" s="17">
        <f>IFERROR(IF(R206="ATTENTION",TIME(8,0,0),IF(S206&gt;R206,S206-R206,R206-S206)),"")</f>
        <v>25569.1875</v>
      </c>
      <c r="U206" s="18">
        <f>IFERROR(VLOOKUP(L206,Calendar!$A$2:$C$261,3,0),"")</f>
      </c>
      <c r="V206" s="19">
        <f>IF(AND(LEN(C206)&gt;0,LEN(D206)=0),"NO CHECK-OUT","")</f>
      </c>
      <c r="W206" s="20">
        <f>IFERROR(IF(R206="",W205,IF(R206="ATTENTION",W205-S206,IF(S206&gt;R206,W205-T206,W205+T206))),"")</f>
        <v>25569.1875</v>
      </c>
    </row>
    <row x14ac:dyDescent="0.25" r="207" customHeight="1" ht="17.25">
      <c r="A207" s="21"/>
      <c r="B207" s="24"/>
      <c r="C207" s="35"/>
      <c r="D207" s="35"/>
      <c r="E207" s="37"/>
      <c r="F207" s="37"/>
      <c r="G207" s="21"/>
      <c r="H207" s="21"/>
      <c r="I207" s="21"/>
      <c r="J207" s="43">
        <f>IFERROR(DATE((LEFT(B207,4)),MID(B207,5,2),RIGHT(B207,2)),"")</f>
        <v>25569.1875</v>
      </c>
      <c r="K207" s="21"/>
      <c r="L207" s="49">
        <f>IF(A207="Total Hours","",IF(J207="",L206,J207))</f>
        <v>25569.1875</v>
      </c>
      <c r="M207" s="50">
        <f>A207</f>
      </c>
      <c r="N207" s="17">
        <f>IF(C207="",IF(U207="",C207,""),C207)</f>
        <v>25569.1875</v>
      </c>
      <c r="O207" s="17">
        <f>IF(D207="",IF(U207="",D207,""),D207)</f>
        <v>25569.1875</v>
      </c>
      <c r="P207" s="17">
        <f>IFERROR(IF(N207&gt;O207,G207,O207-N207),"")</f>
        <v>25569.1875</v>
      </c>
      <c r="Q207" s="17">
        <f>IF(U207="",TIME(0,30,0),"")</f>
        <v>25569.1875</v>
      </c>
      <c r="R207" s="17">
        <f>IFERROR(IF(OR(IFERROR((P207-Q207)&lt;0,""),P207="Missing OUT"),"ATTENTION",P207-Q207),"")</f>
        <v>25569.1875</v>
      </c>
      <c r="S207" s="17">
        <f>TIME(8,0,0)</f>
        <v>25569.1875</v>
      </c>
      <c r="T207" s="17">
        <f>IFERROR(IF(R207="ATTENTION",TIME(8,0,0),IF(S207&gt;R207,S207-R207,R207-S207)),"")</f>
        <v>25569.1875</v>
      </c>
      <c r="U207" s="18">
        <f>IFERROR(VLOOKUP(L207,Calendar!$A$2:$C$261,3,0),"")</f>
      </c>
      <c r="V207" s="19">
        <f>IF(AND(LEN(C207)&gt;0,LEN(D207)=0),"NO CHECK-OUT","")</f>
      </c>
      <c r="W207" s="20">
        <f>IFERROR(IF(R207="",W206,IF(R207="ATTENTION",W206-S207,IF(S207&gt;R207,W206-T207,W206+T207))),"")</f>
        <v>25569.1875</v>
      </c>
    </row>
    <row x14ac:dyDescent="0.25" r="208" customHeight="1" ht="17.25">
      <c r="A208" s="21"/>
      <c r="B208" s="24"/>
      <c r="C208" s="35"/>
      <c r="D208" s="35"/>
      <c r="E208" s="37"/>
      <c r="F208" s="37"/>
      <c r="G208" s="21"/>
      <c r="H208" s="21"/>
      <c r="I208" s="21"/>
      <c r="J208" s="43">
        <f>IFERROR(DATE((LEFT(B208,4)),MID(B208,5,2),RIGHT(B208,2)),"")</f>
        <v>25569.1875</v>
      </c>
      <c r="K208" s="21"/>
      <c r="L208" s="49">
        <f>IF(A208="Total Hours","",IF(J208="",L207,J208))</f>
        <v>25569.1875</v>
      </c>
      <c r="M208" s="50">
        <f>A208</f>
      </c>
      <c r="N208" s="17">
        <f>IF(C208="",IF(U208="",C208,""),C208)</f>
        <v>25569.1875</v>
      </c>
      <c r="O208" s="17">
        <f>IF(D208="",IF(U208="",D208,""),D208)</f>
        <v>25569.1875</v>
      </c>
      <c r="P208" s="17">
        <f>IFERROR(IF(N208&gt;O208,G208,O208-N208),"")</f>
        <v>25569.1875</v>
      </c>
      <c r="Q208" s="17">
        <f>IF(U208="",TIME(0,30,0),"")</f>
        <v>25569.1875</v>
      </c>
      <c r="R208" s="17">
        <f>IFERROR(IF(OR(IFERROR((P208-Q208)&lt;0,""),P208="Missing OUT"),"ATTENTION",P208-Q208),"")</f>
        <v>25569.1875</v>
      </c>
      <c r="S208" s="17">
        <f>TIME(8,0,0)</f>
        <v>25569.1875</v>
      </c>
      <c r="T208" s="17">
        <f>IFERROR(IF(R208="ATTENTION",TIME(8,0,0),IF(S208&gt;R208,S208-R208,R208-S208)),"")</f>
        <v>25569.1875</v>
      </c>
      <c r="U208" s="18">
        <f>IFERROR(VLOOKUP(L208,Calendar!$A$2:$C$261,3,0),"")</f>
      </c>
      <c r="V208" s="19">
        <f>IF(AND(LEN(C208)&gt;0,LEN(D208)=0),"NO CHECK-OUT","")</f>
      </c>
      <c r="W208" s="20">
        <f>IFERROR(IF(R208="",W207,IF(R208="ATTENTION",W207-S208,IF(S208&gt;R208,W207-T208,W207+T208))),"")</f>
        <v>25569.1875</v>
      </c>
    </row>
    <row x14ac:dyDescent="0.25" r="209" customHeight="1" ht="17.25">
      <c r="A209" s="21"/>
      <c r="B209" s="24"/>
      <c r="C209" s="35"/>
      <c r="D209" s="35"/>
      <c r="E209" s="37"/>
      <c r="F209" s="37"/>
      <c r="G209" s="21"/>
      <c r="H209" s="21"/>
      <c r="I209" s="21"/>
      <c r="J209" s="43">
        <f>IFERROR(DATE((LEFT(B209,4)),MID(B209,5,2),RIGHT(B209,2)),"")</f>
        <v>25569.1875</v>
      </c>
      <c r="K209" s="21"/>
      <c r="L209" s="49">
        <f>IF(A209="Total Hours","",IF(J209="",L208,J209))</f>
        <v>25569.1875</v>
      </c>
      <c r="M209" s="50">
        <f>A209</f>
      </c>
      <c r="N209" s="17">
        <f>IF(C209="",IF(U209="",C209,""),C209)</f>
        <v>25569.1875</v>
      </c>
      <c r="O209" s="17">
        <f>IF(D209="",IF(U209="",D209,""),D209)</f>
        <v>25569.1875</v>
      </c>
      <c r="P209" s="17">
        <f>IFERROR(IF(N209&gt;O209,G209,O209-N209),"")</f>
        <v>25569.1875</v>
      </c>
      <c r="Q209" s="17">
        <f>IF(U209="",TIME(0,30,0),"")</f>
        <v>25569.1875</v>
      </c>
      <c r="R209" s="17">
        <f>IFERROR(IF(OR(IFERROR((P209-Q209)&lt;0,""),P209="Missing OUT"),"ATTENTION",P209-Q209),"")</f>
        <v>25569.1875</v>
      </c>
      <c r="S209" s="17">
        <f>TIME(8,0,0)</f>
        <v>25569.1875</v>
      </c>
      <c r="T209" s="17">
        <f>IFERROR(IF(R209="ATTENTION",TIME(8,0,0),IF(S209&gt;R209,S209-R209,R209-S209)),"")</f>
        <v>25569.1875</v>
      </c>
      <c r="U209" s="18">
        <f>IFERROR(VLOOKUP(L209,Calendar!$A$2:$C$261,3,0),"")</f>
      </c>
      <c r="V209" s="19">
        <f>IF(AND(LEN(C209)&gt;0,LEN(D209)=0),"NO CHECK-OUT","")</f>
      </c>
      <c r="W209" s="20">
        <f>IFERROR(IF(R209="",W208,IF(R209="ATTENTION",W208-S209,IF(S209&gt;R209,W208-T209,W208+T209))),"")</f>
        <v>25569.1875</v>
      </c>
    </row>
    <row x14ac:dyDescent="0.25" r="210" customHeight="1" ht="17.25">
      <c r="A210" s="21"/>
      <c r="B210" s="24"/>
      <c r="C210" s="35"/>
      <c r="D210" s="35"/>
      <c r="E210" s="37"/>
      <c r="F210" s="37"/>
      <c r="G210" s="21"/>
      <c r="H210" s="21"/>
      <c r="I210" s="21"/>
      <c r="J210" s="43">
        <f>IFERROR(DATE((LEFT(B210,4)),MID(B210,5,2),RIGHT(B210,2)),"")</f>
        <v>25569.1875</v>
      </c>
      <c r="K210" s="21"/>
      <c r="L210" s="49">
        <f>IF(A210="Total Hours","",IF(J210="",L209,J210))</f>
        <v>25569.1875</v>
      </c>
      <c r="M210" s="50">
        <f>A210</f>
      </c>
      <c r="N210" s="17">
        <f>IF(C210="",IF(U210="",C210,""),C210)</f>
        <v>25569.1875</v>
      </c>
      <c r="O210" s="17">
        <f>IF(D210="",IF(U210="",D210,""),D210)</f>
        <v>25569.1875</v>
      </c>
      <c r="P210" s="17">
        <f>IFERROR(IF(N210&gt;O210,G210,O210-N210),"")</f>
        <v>25569.1875</v>
      </c>
      <c r="Q210" s="17">
        <f>IF(U210="",TIME(0,30,0),"")</f>
        <v>25569.1875</v>
      </c>
      <c r="R210" s="17">
        <f>IFERROR(IF(OR(IFERROR((P210-Q210)&lt;0,""),P210="Missing OUT"),"ATTENTION",P210-Q210),"")</f>
        <v>25569.1875</v>
      </c>
      <c r="S210" s="17">
        <f>TIME(8,0,0)</f>
        <v>25569.1875</v>
      </c>
      <c r="T210" s="17">
        <f>IFERROR(IF(R210="ATTENTION",TIME(8,0,0),IF(S210&gt;R210,S210-R210,R210-S210)),"")</f>
        <v>25569.1875</v>
      </c>
      <c r="U210" s="18">
        <f>IFERROR(VLOOKUP(L210,Calendar!$A$2:$C$261,3,0),"")</f>
      </c>
      <c r="V210" s="19">
        <f>IF(AND(LEN(C210)&gt;0,LEN(D210)=0),"NO CHECK-OUT","")</f>
      </c>
      <c r="W210" s="20">
        <f>IFERROR(IF(R210="",W209,IF(R210="ATTENTION",W209-S210,IF(S210&gt;R210,W209-T210,W209+T210))),"")</f>
        <v>25569.1875</v>
      </c>
    </row>
    <row x14ac:dyDescent="0.25" r="211" customHeight="1" ht="17.25">
      <c r="A211" s="21"/>
      <c r="B211" s="24"/>
      <c r="C211" s="35"/>
      <c r="D211" s="35"/>
      <c r="E211" s="37"/>
      <c r="F211" s="37"/>
      <c r="G211" s="21"/>
      <c r="H211" s="21"/>
      <c r="I211" s="21"/>
      <c r="J211" s="43">
        <f>IFERROR(DATE((LEFT(B211,4)),MID(B211,5,2),RIGHT(B211,2)),"")</f>
        <v>25569.1875</v>
      </c>
      <c r="K211" s="21"/>
      <c r="L211" s="49">
        <f>IF(A211="Total Hours","",IF(J211="",L210,J211))</f>
        <v>25569.1875</v>
      </c>
      <c r="M211" s="50">
        <f>A211</f>
      </c>
      <c r="N211" s="17">
        <f>IF(C211="",IF(U211="",C211,""),C211)</f>
        <v>25569.1875</v>
      </c>
      <c r="O211" s="17">
        <f>IF(D211="",IF(U211="",D211,""),D211)</f>
        <v>25569.1875</v>
      </c>
      <c r="P211" s="17">
        <f>IFERROR(IF(N211&gt;O211,G211,O211-N211),"")</f>
        <v>25569.1875</v>
      </c>
      <c r="Q211" s="17">
        <f>IF(U211="",TIME(0,30,0),"")</f>
        <v>25569.1875</v>
      </c>
      <c r="R211" s="17">
        <f>IFERROR(IF(OR(IFERROR((P211-Q211)&lt;0,""),P211="Missing OUT"),"ATTENTION",P211-Q211),"")</f>
        <v>25569.1875</v>
      </c>
      <c r="S211" s="17">
        <f>TIME(8,0,0)</f>
        <v>25569.1875</v>
      </c>
      <c r="T211" s="17">
        <f>IFERROR(IF(R211="ATTENTION",TIME(8,0,0),IF(S211&gt;R211,S211-R211,R211-S211)),"")</f>
        <v>25569.1875</v>
      </c>
      <c r="U211" s="18">
        <f>IFERROR(VLOOKUP(L211,Calendar!$A$2:$C$261,3,0),"")</f>
      </c>
      <c r="V211" s="19">
        <f>IF(AND(LEN(C211)&gt;0,LEN(D211)=0),"NO CHECK-OUT","")</f>
      </c>
      <c r="W211" s="20">
        <f>IFERROR(IF(R211="",W210,IF(R211="ATTENTION",W210-S211,IF(S211&gt;R211,W210-T211,W210+T211))),"")</f>
        <v>25569.1875</v>
      </c>
    </row>
    <row x14ac:dyDescent="0.25" r="212" customHeight="1" ht="17.25">
      <c r="A212" s="21"/>
      <c r="B212" s="24"/>
      <c r="C212" s="35"/>
      <c r="D212" s="35"/>
      <c r="E212" s="37"/>
      <c r="F212" s="37"/>
      <c r="G212" s="21"/>
      <c r="H212" s="21"/>
      <c r="I212" s="21"/>
      <c r="J212" s="43">
        <f>IFERROR(DATE((LEFT(B212,4)),MID(B212,5,2),RIGHT(B212,2)),"")</f>
        <v>25569.1875</v>
      </c>
      <c r="K212" s="21"/>
      <c r="L212" s="49">
        <f>IF(A212="Total Hours","",IF(J212="",L211,J212))</f>
        <v>25569.1875</v>
      </c>
      <c r="M212" s="50">
        <f>A212</f>
      </c>
      <c r="N212" s="17">
        <f>IF(C212="",IF(U212="",C212,""),C212)</f>
        <v>25569.1875</v>
      </c>
      <c r="O212" s="17">
        <f>IF(D212="",IF(U212="",D212,""),D212)</f>
        <v>25569.1875</v>
      </c>
      <c r="P212" s="17">
        <f>IFERROR(IF(N212&gt;O212,G212,O212-N212),"")</f>
        <v>25569.1875</v>
      </c>
      <c r="Q212" s="17">
        <f>IF(U212="",TIME(0,30,0),"")</f>
        <v>25569.1875</v>
      </c>
      <c r="R212" s="17">
        <f>IFERROR(IF(OR(IFERROR((P212-Q212)&lt;0,""),P212="Missing OUT"),"ATTENTION",P212-Q212),"")</f>
        <v>25569.1875</v>
      </c>
      <c r="S212" s="17">
        <f>TIME(8,0,0)</f>
        <v>25569.1875</v>
      </c>
      <c r="T212" s="17">
        <f>IFERROR(IF(R212="ATTENTION",TIME(8,0,0),IF(S212&gt;R212,S212-R212,R212-S212)),"")</f>
        <v>25569.1875</v>
      </c>
      <c r="U212" s="18">
        <f>IFERROR(VLOOKUP(L212,Calendar!$A$2:$C$261,3,0),"")</f>
      </c>
      <c r="V212" s="19">
        <f>IF(AND(LEN(C212)&gt;0,LEN(D212)=0),"NO CHECK-OUT","")</f>
      </c>
      <c r="W212" s="20">
        <f>IFERROR(IF(R212="",W211,IF(R212="ATTENTION",W211-S212,IF(S212&gt;R212,W211-T212,W211+T212))),"")</f>
        <v>25569.1875</v>
      </c>
    </row>
    <row x14ac:dyDescent="0.25" r="213" customHeight="1" ht="17.25">
      <c r="A213" s="21"/>
      <c r="B213" s="24"/>
      <c r="C213" s="35"/>
      <c r="D213" s="35"/>
      <c r="E213" s="37"/>
      <c r="F213" s="37"/>
      <c r="G213" s="21"/>
      <c r="H213" s="21"/>
      <c r="I213" s="21"/>
      <c r="J213" s="43">
        <f>IFERROR(DATE((LEFT(B213,4)),MID(B213,5,2),RIGHT(B213,2)),"")</f>
        <v>25569.1875</v>
      </c>
      <c r="K213" s="21"/>
      <c r="L213" s="49">
        <f>IF(A213="Total Hours","",IF(J213="",L212,J213))</f>
        <v>25569.1875</v>
      </c>
      <c r="M213" s="50">
        <f>A213</f>
      </c>
      <c r="N213" s="17">
        <f>IF(C213="",IF(U213="",C213,""),C213)</f>
        <v>25569.1875</v>
      </c>
      <c r="O213" s="17">
        <f>IF(D213="",IF(U213="",D213,""),D213)</f>
        <v>25569.1875</v>
      </c>
      <c r="P213" s="17">
        <f>IFERROR(IF(N213&gt;O213,G213,O213-N213),"")</f>
        <v>25569.1875</v>
      </c>
      <c r="Q213" s="17">
        <f>IF(U213="",TIME(0,30,0),"")</f>
        <v>25569.1875</v>
      </c>
      <c r="R213" s="17">
        <f>IFERROR(IF(OR(IFERROR((P213-Q213)&lt;0,""),P213="Missing OUT"),"ATTENTION",P213-Q213),"")</f>
        <v>25569.1875</v>
      </c>
      <c r="S213" s="17">
        <f>TIME(8,0,0)</f>
        <v>25569.1875</v>
      </c>
      <c r="T213" s="17">
        <f>IFERROR(IF(R213="ATTENTION",TIME(8,0,0),IF(S213&gt;R213,S213-R213,R213-S213)),"")</f>
        <v>25569.1875</v>
      </c>
      <c r="U213" s="18">
        <f>IFERROR(VLOOKUP(L213,Calendar!$A$2:$C$261,3,0),"")</f>
      </c>
      <c r="V213" s="19">
        <f>IF(AND(LEN(C213)&gt;0,LEN(D213)=0),"NO CHECK-OUT","")</f>
      </c>
      <c r="W213" s="20">
        <f>IFERROR(IF(R213="",W212,IF(R213="ATTENTION",W212-S213,IF(S213&gt;R213,W212-T213,W212+T213))),"")</f>
        <v>25569.1875</v>
      </c>
    </row>
    <row x14ac:dyDescent="0.25" r="214" customHeight="1" ht="17.25">
      <c r="A214" s="21"/>
      <c r="B214" s="24"/>
      <c r="C214" s="35"/>
      <c r="D214" s="35"/>
      <c r="E214" s="37"/>
      <c r="F214" s="37"/>
      <c r="G214" s="21"/>
      <c r="H214" s="21"/>
      <c r="I214" s="21"/>
      <c r="J214" s="43">
        <f>IFERROR(DATE((LEFT(B214,4)),MID(B214,5,2),RIGHT(B214,2)),"")</f>
        <v>25569.1875</v>
      </c>
      <c r="K214" s="21"/>
      <c r="L214" s="49">
        <f>IF(A214="Total Hours","",IF(J214="",L213,J214))</f>
        <v>25569.1875</v>
      </c>
      <c r="M214" s="50">
        <f>A214</f>
      </c>
      <c r="N214" s="17">
        <f>IF(C214="",IF(U214="",C214,""),C214)</f>
        <v>25569.1875</v>
      </c>
      <c r="O214" s="17">
        <f>IF(D214="",IF(U214="",D214,""),D214)</f>
        <v>25569.1875</v>
      </c>
      <c r="P214" s="17">
        <f>IFERROR(IF(N214&gt;O214,G214,O214-N214),"")</f>
        <v>25569.1875</v>
      </c>
      <c r="Q214" s="17">
        <f>IF(U214="",TIME(0,30,0),"")</f>
        <v>25569.1875</v>
      </c>
      <c r="R214" s="17">
        <f>IFERROR(IF(OR(IFERROR((P214-Q214)&lt;0,""),P214="Missing OUT"),"ATTENTION",P214-Q214),"")</f>
        <v>25569.1875</v>
      </c>
      <c r="S214" s="17">
        <f>TIME(8,0,0)</f>
        <v>25569.1875</v>
      </c>
      <c r="T214" s="17">
        <f>IFERROR(IF(R214="ATTENTION",TIME(8,0,0),IF(S214&gt;R214,S214-R214,R214-S214)),"")</f>
        <v>25569.1875</v>
      </c>
      <c r="U214" s="18">
        <f>IFERROR(VLOOKUP(L214,Calendar!$A$2:$C$261,3,0),"")</f>
      </c>
      <c r="V214" s="19">
        <f>IF(AND(LEN(C214)&gt;0,LEN(D214)=0),"NO CHECK-OUT","")</f>
      </c>
      <c r="W214" s="20">
        <f>IFERROR(IF(R214="",W213,IF(R214="ATTENTION",W213-S214,IF(S214&gt;R214,W213-T214,W213+T214))),"")</f>
        <v>25569.1875</v>
      </c>
    </row>
    <row x14ac:dyDescent="0.25" r="215" customHeight="1" ht="17.25">
      <c r="A215" s="21"/>
      <c r="B215" s="24"/>
      <c r="C215" s="35"/>
      <c r="D215" s="35"/>
      <c r="E215" s="37"/>
      <c r="F215" s="37"/>
      <c r="G215" s="21"/>
      <c r="H215" s="21"/>
      <c r="I215" s="21"/>
      <c r="J215" s="43">
        <f>IFERROR(DATE((LEFT(B215,4)),MID(B215,5,2),RIGHT(B215,2)),"")</f>
        <v>25569.1875</v>
      </c>
      <c r="K215" s="21"/>
      <c r="L215" s="49">
        <f>IF(A215="Total Hours","",IF(J215="",L214,J215))</f>
        <v>25569.1875</v>
      </c>
      <c r="M215" s="50">
        <f>A215</f>
      </c>
      <c r="N215" s="17">
        <f>IF(C215="",IF(U215="",C215,""),C215)</f>
        <v>25569.1875</v>
      </c>
      <c r="O215" s="17">
        <f>IF(D215="",IF(U215="",D215,""),D215)</f>
        <v>25569.1875</v>
      </c>
      <c r="P215" s="17">
        <f>IFERROR(IF(N215&gt;O215,G215,O215-N215),"")</f>
        <v>25569.1875</v>
      </c>
      <c r="Q215" s="17">
        <f>IF(U215="",TIME(0,30,0),"")</f>
        <v>25569.1875</v>
      </c>
      <c r="R215" s="17">
        <f>IFERROR(IF(OR(IFERROR((P215-Q215)&lt;0,""),P215="Missing OUT"),"ATTENTION",P215-Q215),"")</f>
        <v>25569.1875</v>
      </c>
      <c r="S215" s="17">
        <f>TIME(8,0,0)</f>
        <v>25569.1875</v>
      </c>
      <c r="T215" s="17">
        <f>IFERROR(IF(R215="ATTENTION",TIME(8,0,0),IF(S215&gt;R215,S215-R215,R215-S215)),"")</f>
        <v>25569.1875</v>
      </c>
      <c r="U215" s="18">
        <f>IFERROR(VLOOKUP(L215,Calendar!$A$2:$C$261,3,0),"")</f>
      </c>
      <c r="V215" s="19">
        <f>IF(AND(LEN(C215)&gt;0,LEN(D215)=0),"NO CHECK-OUT","")</f>
      </c>
      <c r="W215" s="20">
        <f>IFERROR(IF(R215="",W214,IF(R215="ATTENTION",W214-S215,IF(S215&gt;R215,W214-T215,W214+T215))),"")</f>
        <v>25569.1875</v>
      </c>
    </row>
    <row x14ac:dyDescent="0.25" r="216" customHeight="1" ht="17.25">
      <c r="A216" s="21"/>
      <c r="B216" s="24"/>
      <c r="C216" s="35"/>
      <c r="D216" s="35"/>
      <c r="E216" s="37"/>
      <c r="F216" s="37"/>
      <c r="G216" s="21"/>
      <c r="H216" s="21"/>
      <c r="I216" s="21"/>
      <c r="J216" s="43">
        <f>IFERROR(DATE((LEFT(B216,4)),MID(B216,5,2),RIGHT(B216,2)),"")</f>
        <v>25569.1875</v>
      </c>
      <c r="K216" s="21"/>
      <c r="L216" s="49">
        <f>IF(A216="Total Hours","",IF(J216="",L215,J216))</f>
        <v>25569.1875</v>
      </c>
      <c r="M216" s="50">
        <f>A216</f>
      </c>
      <c r="N216" s="17">
        <f>IF(C216="",IF(U216="",C216,""),C216)</f>
        <v>25569.1875</v>
      </c>
      <c r="O216" s="17">
        <f>IF(D216="",IF(U216="",D216,""),D216)</f>
        <v>25569.1875</v>
      </c>
      <c r="P216" s="17">
        <f>IFERROR(IF(N216&gt;O216,G216,O216-N216),"")</f>
        <v>25569.1875</v>
      </c>
      <c r="Q216" s="17">
        <f>IF(U216="",TIME(0,30,0),"")</f>
        <v>25569.1875</v>
      </c>
      <c r="R216" s="17">
        <f>IFERROR(IF(OR(IFERROR((P216-Q216)&lt;0,""),P216="Missing OUT"),"ATTENTION",P216-Q216),"")</f>
        <v>25569.1875</v>
      </c>
      <c r="S216" s="17">
        <f>TIME(8,0,0)</f>
        <v>25569.1875</v>
      </c>
      <c r="T216" s="17">
        <f>IFERROR(IF(R216="ATTENTION",TIME(8,0,0),IF(S216&gt;R216,S216-R216,R216-S216)),"")</f>
        <v>25569.1875</v>
      </c>
      <c r="U216" s="18">
        <f>IFERROR(VLOOKUP(L216,Calendar!$A$2:$C$261,3,0),"")</f>
      </c>
      <c r="V216" s="19">
        <f>IF(AND(LEN(C216)&gt;0,LEN(D216)=0),"NO CHECK-OUT","")</f>
      </c>
      <c r="W216" s="20">
        <f>IFERROR(IF(R216="",W215,IF(R216="ATTENTION",W215-S216,IF(S216&gt;R216,W215-T216,W215+T216))),"")</f>
        <v>25569.1875</v>
      </c>
    </row>
    <row x14ac:dyDescent="0.25" r="217" customHeight="1" ht="17.25">
      <c r="A217" s="21"/>
      <c r="B217" s="24"/>
      <c r="C217" s="35"/>
      <c r="D217" s="35"/>
      <c r="E217" s="37"/>
      <c r="F217" s="37"/>
      <c r="G217" s="21"/>
      <c r="H217" s="21"/>
      <c r="I217" s="21"/>
      <c r="J217" s="43">
        <f>IFERROR(DATE((LEFT(B217,4)),MID(B217,5,2),RIGHT(B217,2)),"")</f>
        <v>25569.1875</v>
      </c>
      <c r="K217" s="21"/>
      <c r="L217" s="49">
        <f>IF(A217="Total Hours","",IF(J217="",L216,J217))</f>
        <v>25569.1875</v>
      </c>
      <c r="M217" s="50">
        <f>A217</f>
      </c>
      <c r="N217" s="17">
        <f>IF(C217="",IF(U217="",C217,""),C217)</f>
        <v>25569.1875</v>
      </c>
      <c r="O217" s="17">
        <f>IF(D217="",IF(U217="",D217,""),D217)</f>
        <v>25569.1875</v>
      </c>
      <c r="P217" s="17">
        <f>IFERROR(IF(N217&gt;O217,G217,O217-N217),"")</f>
        <v>25569.1875</v>
      </c>
      <c r="Q217" s="17">
        <f>IF(U217="",TIME(0,30,0),"")</f>
        <v>25569.1875</v>
      </c>
      <c r="R217" s="17">
        <f>IFERROR(IF(OR(IFERROR((P217-Q217)&lt;0,""),P217="Missing OUT"),"ATTENTION",P217-Q217),"")</f>
        <v>25569.1875</v>
      </c>
      <c r="S217" s="17">
        <f>TIME(8,0,0)</f>
        <v>25569.1875</v>
      </c>
      <c r="T217" s="17">
        <f>IFERROR(IF(R217="ATTENTION",TIME(8,0,0),IF(S217&gt;R217,S217-R217,R217-S217)),"")</f>
        <v>25569.1875</v>
      </c>
      <c r="U217" s="18">
        <f>IFERROR(VLOOKUP(L217,Calendar!$A$2:$C$261,3,0),"")</f>
      </c>
      <c r="V217" s="19">
        <f>IF(AND(LEN(C217)&gt;0,LEN(D217)=0),"NO CHECK-OUT","")</f>
      </c>
      <c r="W217" s="20">
        <f>IFERROR(IF(R217="",W216,IF(R217="ATTENTION",W216-S217,IF(S217&gt;R217,W216-T217,W216+T217))),"")</f>
        <v>25569.1875</v>
      </c>
    </row>
    <row x14ac:dyDescent="0.25" r="218" customHeight="1" ht="17.25">
      <c r="A218" s="21"/>
      <c r="B218" s="24"/>
      <c r="C218" s="35"/>
      <c r="D218" s="35"/>
      <c r="E218" s="37"/>
      <c r="F218" s="37"/>
      <c r="G218" s="21"/>
      <c r="H218" s="21"/>
      <c r="I218" s="21"/>
      <c r="J218" s="43">
        <f>IFERROR(DATE((LEFT(B218,4)),MID(B218,5,2),RIGHT(B218,2)),"")</f>
        <v>25569.1875</v>
      </c>
      <c r="K218" s="21"/>
      <c r="L218" s="49">
        <f>IF(A218="Total Hours","",IF(J218="",L217,J218))</f>
        <v>25569.1875</v>
      </c>
      <c r="M218" s="50">
        <f>A218</f>
      </c>
      <c r="N218" s="17">
        <f>IF(C218="",IF(U218="",C218,""),C218)</f>
        <v>25569.1875</v>
      </c>
      <c r="O218" s="17">
        <f>IF(D218="",IF(U218="",D218,""),D218)</f>
        <v>25569.1875</v>
      </c>
      <c r="P218" s="17">
        <f>IFERROR(IF(N218&gt;O218,G218,O218-N218),"")</f>
        <v>25569.1875</v>
      </c>
      <c r="Q218" s="17">
        <f>IF(U218="",TIME(0,30,0),"")</f>
        <v>25569.1875</v>
      </c>
      <c r="R218" s="17">
        <f>IFERROR(IF(OR(IFERROR((P218-Q218)&lt;0,""),P218="Missing OUT"),"ATTENTION",P218-Q218),"")</f>
        <v>25569.1875</v>
      </c>
      <c r="S218" s="17">
        <f>TIME(8,0,0)</f>
        <v>25569.1875</v>
      </c>
      <c r="T218" s="17">
        <f>IFERROR(IF(R218="ATTENTION",TIME(8,0,0),IF(S218&gt;R218,S218-R218,R218-S218)),"")</f>
        <v>25569.1875</v>
      </c>
      <c r="U218" s="18">
        <f>IFERROR(VLOOKUP(L218,Calendar!$A$2:$C$261,3,0),"")</f>
      </c>
      <c r="V218" s="19">
        <f>IF(AND(LEN(C218)&gt;0,LEN(D218)=0),"NO CHECK-OUT","")</f>
      </c>
      <c r="W218" s="20">
        <f>IFERROR(IF(R218="",W217,IF(R218="ATTENTION",W217-S218,IF(S218&gt;R218,W217-T218,W217+T218))),"")</f>
        <v>25569.1875</v>
      </c>
    </row>
    <row x14ac:dyDescent="0.25" r="219" customHeight="1" ht="17.25">
      <c r="A219" s="21"/>
      <c r="B219" s="24"/>
      <c r="C219" s="35"/>
      <c r="D219" s="35"/>
      <c r="E219" s="37"/>
      <c r="F219" s="37"/>
      <c r="G219" s="21"/>
      <c r="H219" s="21"/>
      <c r="I219" s="21"/>
      <c r="J219" s="43">
        <f>IFERROR(DATE((LEFT(B219,4)),MID(B219,5,2),RIGHT(B219,2)),"")</f>
        <v>25569.1875</v>
      </c>
      <c r="K219" s="21"/>
      <c r="L219" s="49">
        <f>IF(A219="Total Hours","",IF(J219="",L218,J219))</f>
        <v>25569.1875</v>
      </c>
      <c r="M219" s="50">
        <f>A219</f>
      </c>
      <c r="N219" s="17">
        <f>IF(C219="",IF(U219="",C219,""),C219)</f>
        <v>25569.1875</v>
      </c>
      <c r="O219" s="17">
        <f>IF(D219="",IF(U219="",D219,""),D219)</f>
        <v>25569.1875</v>
      </c>
      <c r="P219" s="17">
        <f>IFERROR(IF(N219&gt;O219,G219,O219-N219),"")</f>
        <v>25569.1875</v>
      </c>
      <c r="Q219" s="17">
        <f>IF(U219="",TIME(0,30,0),"")</f>
        <v>25569.1875</v>
      </c>
      <c r="R219" s="17">
        <f>IFERROR(IF(OR(IFERROR((P219-Q219)&lt;0,""),P219="Missing OUT"),"ATTENTION",P219-Q219),"")</f>
        <v>25569.1875</v>
      </c>
      <c r="S219" s="17">
        <f>TIME(8,0,0)</f>
        <v>25569.1875</v>
      </c>
      <c r="T219" s="17">
        <f>IFERROR(IF(R219="ATTENTION",TIME(8,0,0),IF(S219&gt;R219,S219-R219,R219-S219)),"")</f>
        <v>25569.1875</v>
      </c>
      <c r="U219" s="18">
        <f>IFERROR(VLOOKUP(L219,Calendar!$A$2:$C$261,3,0),"")</f>
      </c>
      <c r="V219" s="19">
        <f>IF(AND(LEN(C219)&gt;0,LEN(D219)=0),"NO CHECK-OUT","")</f>
      </c>
      <c r="W219" s="20">
        <f>IFERROR(IF(R219="",W218,IF(R219="ATTENTION",W218-S219,IF(S219&gt;R219,W218-T219,W218+T219))),"")</f>
        <v>25569.1875</v>
      </c>
    </row>
    <row x14ac:dyDescent="0.25" r="220" customHeight="1" ht="17.25">
      <c r="A220" s="21"/>
      <c r="B220" s="24"/>
      <c r="C220" s="35"/>
      <c r="D220" s="35"/>
      <c r="E220" s="37"/>
      <c r="F220" s="37"/>
      <c r="G220" s="21"/>
      <c r="H220" s="21"/>
      <c r="I220" s="21"/>
      <c r="J220" s="43">
        <f>IFERROR(DATE((LEFT(B220,4)),MID(B220,5,2),RIGHT(B220,2)),"")</f>
        <v>25569.1875</v>
      </c>
      <c r="K220" s="21"/>
      <c r="L220" s="49">
        <f>IF(A220="Total Hours","",IF(J220="",L219,J220))</f>
        <v>25569.1875</v>
      </c>
      <c r="M220" s="50">
        <f>A220</f>
      </c>
      <c r="N220" s="17">
        <f>IF(C220="",IF(U220="",C220,""),C220)</f>
        <v>25569.1875</v>
      </c>
      <c r="O220" s="17">
        <f>IF(D220="",IF(U220="",D220,""),D220)</f>
        <v>25569.1875</v>
      </c>
      <c r="P220" s="17">
        <f>IFERROR(IF(N220&gt;O220,G220,O220-N220),"")</f>
        <v>25569.1875</v>
      </c>
      <c r="Q220" s="17">
        <f>IF(U220="",TIME(0,30,0),"")</f>
        <v>25569.1875</v>
      </c>
      <c r="R220" s="17">
        <f>IFERROR(IF(OR(IFERROR((P220-Q220)&lt;0,""),P220="Missing OUT"),"ATTENTION",P220-Q220),"")</f>
        <v>25569.1875</v>
      </c>
      <c r="S220" s="17">
        <f>TIME(8,0,0)</f>
        <v>25569.1875</v>
      </c>
      <c r="T220" s="17">
        <f>IFERROR(IF(R220="ATTENTION",TIME(8,0,0),IF(S220&gt;R220,S220-R220,R220-S220)),"")</f>
        <v>25569.1875</v>
      </c>
      <c r="U220" s="18">
        <f>IFERROR(VLOOKUP(L220,Calendar!$A$2:$C$261,3,0),"")</f>
      </c>
      <c r="V220" s="19">
        <f>IF(AND(LEN(C220)&gt;0,LEN(D220)=0),"NO CHECK-OUT","")</f>
      </c>
      <c r="W220" s="20">
        <f>IFERROR(IF(R220="",W219,IF(R220="ATTENTION",W219-S220,IF(S220&gt;R220,W219-T220,W219+T220))),"")</f>
        <v>25569.1875</v>
      </c>
    </row>
    <row x14ac:dyDescent="0.25" r="221" customHeight="1" ht="17.25">
      <c r="A221" s="21"/>
      <c r="B221" s="24"/>
      <c r="C221" s="35"/>
      <c r="D221" s="35"/>
      <c r="E221" s="37"/>
      <c r="F221" s="37"/>
      <c r="G221" s="21"/>
      <c r="H221" s="21"/>
      <c r="I221" s="21"/>
      <c r="J221" s="43">
        <f>IFERROR(DATE((LEFT(B221,4)),MID(B221,5,2),RIGHT(B221,2)),"")</f>
        <v>25569.1875</v>
      </c>
      <c r="K221" s="21"/>
      <c r="L221" s="49">
        <f>IF(A221="Total Hours","",IF(J221="",L220,J221))</f>
        <v>25569.1875</v>
      </c>
      <c r="M221" s="50">
        <f>A221</f>
      </c>
      <c r="N221" s="17">
        <f>IF(C221="",IF(U221="",C221,""),C221)</f>
        <v>25569.1875</v>
      </c>
      <c r="O221" s="17">
        <f>IF(D221="",IF(U221="",D221,""),D221)</f>
        <v>25569.1875</v>
      </c>
      <c r="P221" s="17">
        <f>IFERROR(IF(N221&gt;O221,G221,O221-N221),"")</f>
        <v>25569.1875</v>
      </c>
      <c r="Q221" s="17">
        <f>IF(U221="",TIME(0,30,0),"")</f>
        <v>25569.1875</v>
      </c>
      <c r="R221" s="17">
        <f>IFERROR(IF(OR(IFERROR((P221-Q221)&lt;0,""),P221="Missing OUT"),"ATTENTION",P221-Q221),"")</f>
        <v>25569.1875</v>
      </c>
      <c r="S221" s="17">
        <f>TIME(8,0,0)</f>
        <v>25569.1875</v>
      </c>
      <c r="T221" s="17">
        <f>IFERROR(IF(R221="ATTENTION",TIME(8,0,0),IF(S221&gt;R221,S221-R221,R221-S221)),"")</f>
        <v>25569.1875</v>
      </c>
      <c r="U221" s="18">
        <f>IFERROR(VLOOKUP(L221,Calendar!$A$2:$C$261,3,0),"")</f>
      </c>
      <c r="V221" s="19">
        <f>IF(AND(LEN(C221)&gt;0,LEN(D221)=0),"NO CHECK-OUT","")</f>
      </c>
      <c r="W221" s="20">
        <f>IFERROR(IF(R221="",W220,IF(R221="ATTENTION",W220-S221,IF(S221&gt;R221,W220-T221,W220+T221))),"")</f>
        <v>25569.1875</v>
      </c>
    </row>
    <row x14ac:dyDescent="0.25" r="222" customHeight="1" ht="17.25">
      <c r="A222" s="21"/>
      <c r="B222" s="24"/>
      <c r="C222" s="35"/>
      <c r="D222" s="35"/>
      <c r="E222" s="37"/>
      <c r="F222" s="37"/>
      <c r="G222" s="21"/>
      <c r="H222" s="21"/>
      <c r="I222" s="21"/>
      <c r="J222" s="43">
        <f>IFERROR(DATE((LEFT(B222,4)),MID(B222,5,2),RIGHT(B222,2)),"")</f>
        <v>25569.1875</v>
      </c>
      <c r="K222" s="21"/>
      <c r="L222" s="49">
        <f>IF(A222="Total Hours","",IF(J222="",L221,J222))</f>
        <v>25569.1875</v>
      </c>
      <c r="M222" s="50">
        <f>A222</f>
      </c>
      <c r="N222" s="17">
        <f>IF(C222="",IF(U222="",C222,""),C222)</f>
        <v>25569.1875</v>
      </c>
      <c r="O222" s="17">
        <f>IF(D222="",IF(U222="",D222,""),D222)</f>
        <v>25569.1875</v>
      </c>
      <c r="P222" s="17">
        <f>IFERROR(IF(N222&gt;O222,G222,O222-N222),"")</f>
        <v>25569.1875</v>
      </c>
      <c r="Q222" s="17">
        <f>IF(U222="",TIME(0,30,0),"")</f>
        <v>25569.1875</v>
      </c>
      <c r="R222" s="17">
        <f>IFERROR(IF(OR(IFERROR((P222-Q222)&lt;0,""),P222="Missing OUT"),"ATTENTION",P222-Q222),"")</f>
        <v>25569.1875</v>
      </c>
      <c r="S222" s="17">
        <f>TIME(8,0,0)</f>
        <v>25569.1875</v>
      </c>
      <c r="T222" s="17">
        <f>IFERROR(IF(R222="ATTENTION",TIME(8,0,0),IF(S222&gt;R222,S222-R222,R222-S222)),"")</f>
        <v>25569.1875</v>
      </c>
      <c r="U222" s="18">
        <f>IFERROR(VLOOKUP(L222,Calendar!$A$2:$C$261,3,0),"")</f>
      </c>
      <c r="V222" s="19">
        <f>IF(AND(LEN(C222)&gt;0,LEN(D222)=0),"NO CHECK-OUT","")</f>
      </c>
      <c r="W222" s="20">
        <f>IFERROR(IF(R222="",W221,IF(R222="ATTENTION",W221-S222,IF(S222&gt;R222,W221-T222,W221+T222))),"")</f>
        <v>25569.1875</v>
      </c>
    </row>
    <row x14ac:dyDescent="0.25" r="223" customHeight="1" ht="17.25">
      <c r="A223" s="21"/>
      <c r="B223" s="24"/>
      <c r="C223" s="35"/>
      <c r="D223" s="35"/>
      <c r="E223" s="37"/>
      <c r="F223" s="37"/>
      <c r="G223" s="21"/>
      <c r="H223" s="21"/>
      <c r="I223" s="21"/>
      <c r="J223" s="43">
        <f>IFERROR(DATE((LEFT(B223,4)),MID(B223,5,2),RIGHT(B223,2)),"")</f>
        <v>25569.1875</v>
      </c>
      <c r="K223" s="21"/>
      <c r="L223" s="49">
        <f>IF(A223="Total Hours","",IF(J223="",L222,J223))</f>
        <v>25569.1875</v>
      </c>
      <c r="M223" s="50">
        <f>A223</f>
      </c>
      <c r="N223" s="17">
        <f>IF(C223="",IF(U223="",C223,""),C223)</f>
        <v>25569.1875</v>
      </c>
      <c r="O223" s="17">
        <f>IF(D223="",IF(U223="",D223,""),D223)</f>
        <v>25569.1875</v>
      </c>
      <c r="P223" s="17">
        <f>IFERROR(IF(N223&gt;O223,G223,O223-N223),"")</f>
        <v>25569.1875</v>
      </c>
      <c r="Q223" s="17">
        <f>IF(U223="",TIME(0,30,0),"")</f>
        <v>25569.1875</v>
      </c>
      <c r="R223" s="17">
        <f>IFERROR(IF(OR(IFERROR((P223-Q223)&lt;0,""),P223="Missing OUT"),"ATTENTION",P223-Q223),"")</f>
        <v>25569.1875</v>
      </c>
      <c r="S223" s="17">
        <f>TIME(8,0,0)</f>
        <v>25569.1875</v>
      </c>
      <c r="T223" s="17">
        <f>IFERROR(IF(R223="ATTENTION",TIME(8,0,0),IF(S223&gt;R223,S223-R223,R223-S223)),"")</f>
        <v>25569.1875</v>
      </c>
      <c r="U223" s="18">
        <f>IFERROR(VLOOKUP(L223,Calendar!$A$2:$C$261,3,0),"")</f>
      </c>
      <c r="V223" s="19">
        <f>IF(AND(LEN(C223)&gt;0,LEN(D223)=0),"NO CHECK-OUT","")</f>
      </c>
      <c r="W223" s="20">
        <f>IFERROR(IF(R223="",W222,IF(R223="ATTENTION",W222-S223,IF(S223&gt;R223,W222-T223,W222+T223))),"")</f>
        <v>25569.1875</v>
      </c>
    </row>
    <row x14ac:dyDescent="0.25" r="224" customHeight="1" ht="17.25">
      <c r="A224" s="21"/>
      <c r="B224" s="24"/>
      <c r="C224" s="35"/>
      <c r="D224" s="35"/>
      <c r="E224" s="37"/>
      <c r="F224" s="37"/>
      <c r="G224" s="21"/>
      <c r="H224" s="21"/>
      <c r="I224" s="21"/>
      <c r="J224" s="43">
        <f>IFERROR(DATE((LEFT(B224,4)),MID(B224,5,2),RIGHT(B224,2)),"")</f>
        <v>25569.1875</v>
      </c>
      <c r="K224" s="21"/>
      <c r="L224" s="49">
        <f>IF(A224="Total Hours","",IF(J224="",L223,J224))</f>
        <v>25569.1875</v>
      </c>
      <c r="M224" s="50">
        <f>A224</f>
      </c>
      <c r="N224" s="17">
        <f>IF(C224="",IF(U224="",C224,""),C224)</f>
        <v>25569.1875</v>
      </c>
      <c r="O224" s="17">
        <f>IF(D224="",IF(U224="",D224,""),D224)</f>
        <v>25569.1875</v>
      </c>
      <c r="P224" s="17">
        <f>IFERROR(IF(N224&gt;O224,G224,O224-N224),"")</f>
        <v>25569.1875</v>
      </c>
      <c r="Q224" s="17">
        <f>IF(U224="",TIME(0,30,0),"")</f>
        <v>25569.1875</v>
      </c>
      <c r="R224" s="17">
        <f>IFERROR(IF(OR(IFERROR((P224-Q224)&lt;0,""),P224="Missing OUT"),"ATTENTION",P224-Q224),"")</f>
        <v>25569.1875</v>
      </c>
      <c r="S224" s="17">
        <f>TIME(8,0,0)</f>
        <v>25569.1875</v>
      </c>
      <c r="T224" s="17">
        <f>IFERROR(IF(R224="ATTENTION",TIME(8,0,0),IF(S224&gt;R224,S224-R224,R224-S224)),"")</f>
        <v>25569.1875</v>
      </c>
      <c r="U224" s="18">
        <f>IFERROR(VLOOKUP(L224,Calendar!$A$2:$C$261,3,0),"")</f>
      </c>
      <c r="V224" s="19">
        <f>IF(AND(LEN(C224)&gt;0,LEN(D224)=0),"NO CHECK-OUT","")</f>
      </c>
      <c r="W224" s="20">
        <f>IFERROR(IF(R224="",W223,IF(R224="ATTENTION",W223-S224,IF(S224&gt;R224,W223-T224,W223+T224))),"")</f>
        <v>25569.1875</v>
      </c>
    </row>
    <row x14ac:dyDescent="0.25" r="225" customHeight="1" ht="17.25">
      <c r="A225" s="21"/>
      <c r="B225" s="24"/>
      <c r="C225" s="35"/>
      <c r="D225" s="35"/>
      <c r="E225" s="37"/>
      <c r="F225" s="37"/>
      <c r="G225" s="21"/>
      <c r="H225" s="21"/>
      <c r="I225" s="21"/>
      <c r="J225" s="43">
        <f>IFERROR(DATE((LEFT(B225,4)),MID(B225,5,2),RIGHT(B225,2)),"")</f>
        <v>25569.1875</v>
      </c>
      <c r="K225" s="21"/>
      <c r="L225" s="49">
        <f>IF(A225="Total Hours","",IF(J225="",L224,J225))</f>
        <v>25569.1875</v>
      </c>
      <c r="M225" s="50">
        <f>A225</f>
      </c>
      <c r="N225" s="17">
        <f>IF(C225="",IF(U225="",C225,""),C225)</f>
        <v>25569.1875</v>
      </c>
      <c r="O225" s="17">
        <f>IF(D225="",IF(U225="",D225,""),D225)</f>
        <v>25569.1875</v>
      </c>
      <c r="P225" s="17">
        <f>IFERROR(IF(N225&gt;O225,G225,O225-N225),"")</f>
        <v>25569.1875</v>
      </c>
      <c r="Q225" s="17">
        <f>IF(U225="",TIME(0,30,0),"")</f>
        <v>25569.1875</v>
      </c>
      <c r="R225" s="17">
        <f>IFERROR(IF(OR(IFERROR((P225-Q225)&lt;0,""),P225="Missing OUT"),"ATTENTION",P225-Q225),"")</f>
        <v>25569.1875</v>
      </c>
      <c r="S225" s="17">
        <f>TIME(8,0,0)</f>
        <v>25569.1875</v>
      </c>
      <c r="T225" s="17">
        <f>IFERROR(IF(R225="ATTENTION",TIME(8,0,0),IF(S225&gt;R225,S225-R225,R225-S225)),"")</f>
        <v>25569.1875</v>
      </c>
      <c r="U225" s="18">
        <f>IFERROR(VLOOKUP(L225,Calendar!$A$2:$C$261,3,0),"")</f>
      </c>
      <c r="V225" s="19">
        <f>IF(AND(LEN(C225)&gt;0,LEN(D225)=0),"NO CHECK-OUT","")</f>
      </c>
      <c r="W225" s="20">
        <f>IFERROR(IF(R225="",W224,IF(R225="ATTENTION",W224-S225,IF(S225&gt;R225,W224-T225,W224+T225))),"")</f>
        <v>25569.1875</v>
      </c>
    </row>
    <row x14ac:dyDescent="0.25" r="226" customHeight="1" ht="17.25">
      <c r="A226" s="21"/>
      <c r="B226" s="24"/>
      <c r="C226" s="35"/>
      <c r="D226" s="35"/>
      <c r="E226" s="37"/>
      <c r="F226" s="37"/>
      <c r="G226" s="21"/>
      <c r="H226" s="21"/>
      <c r="I226" s="21"/>
      <c r="J226" s="43">
        <f>IFERROR(DATE((LEFT(B226,4)),MID(B226,5,2),RIGHT(B226,2)),"")</f>
        <v>25569.1875</v>
      </c>
      <c r="K226" s="21"/>
      <c r="L226" s="49">
        <f>IF(A226="Total Hours","",IF(J226="",L225,J226))</f>
        <v>25569.1875</v>
      </c>
      <c r="M226" s="50">
        <f>A226</f>
      </c>
      <c r="N226" s="17">
        <f>IF(C226="",IF(U226="",C226,""),C226)</f>
        <v>25569.1875</v>
      </c>
      <c r="O226" s="17">
        <f>IF(D226="",IF(U226="",D226,""),D226)</f>
        <v>25569.1875</v>
      </c>
      <c r="P226" s="17">
        <f>IFERROR(IF(N226&gt;O226,G226,O226-N226),"")</f>
        <v>25569.1875</v>
      </c>
      <c r="Q226" s="17">
        <f>IF(U226="",TIME(0,30,0),"")</f>
        <v>25569.1875</v>
      </c>
      <c r="R226" s="17">
        <f>IFERROR(IF(OR(IFERROR((P226-Q226)&lt;0,""),P226="Missing OUT"),"ATTENTION",P226-Q226),"")</f>
        <v>25569.1875</v>
      </c>
      <c r="S226" s="17">
        <f>TIME(8,0,0)</f>
        <v>25569.1875</v>
      </c>
      <c r="T226" s="17">
        <f>IFERROR(IF(R226="ATTENTION",TIME(8,0,0),IF(S226&gt;R226,S226-R226,R226-S226)),"")</f>
        <v>25569.1875</v>
      </c>
      <c r="U226" s="18">
        <f>IFERROR(VLOOKUP(L226,Calendar!$A$2:$C$261,3,0),"")</f>
      </c>
      <c r="V226" s="19">
        <f>IF(AND(LEN(C226)&gt;0,LEN(D226)=0),"NO CHECK-OUT","")</f>
      </c>
      <c r="W226" s="20">
        <f>IFERROR(IF(R226="",W225,IF(R226="ATTENTION",W225-S226,IF(S226&gt;R226,W225-T226,W225+T226))),"")</f>
        <v>25569.1875</v>
      </c>
    </row>
    <row x14ac:dyDescent="0.25" r="227" customHeight="1" ht="17.25">
      <c r="A227" s="21"/>
      <c r="B227" s="24"/>
      <c r="C227" s="35"/>
      <c r="D227" s="35"/>
      <c r="E227" s="37"/>
      <c r="F227" s="37"/>
      <c r="G227" s="21"/>
      <c r="H227" s="21"/>
      <c r="I227" s="21"/>
      <c r="J227" s="43">
        <f>IFERROR(DATE((LEFT(B227,4)),MID(B227,5,2),RIGHT(B227,2)),"")</f>
        <v>25569.1875</v>
      </c>
      <c r="K227" s="21"/>
      <c r="L227" s="49">
        <f>IF(A227="Total Hours","",IF(J227="",L226,J227))</f>
        <v>25569.1875</v>
      </c>
      <c r="M227" s="50">
        <f>A227</f>
      </c>
      <c r="N227" s="17">
        <f>IF(C227="",IF(U227="",C227,""),C227)</f>
        <v>25569.1875</v>
      </c>
      <c r="O227" s="17">
        <f>IF(D227="",IF(U227="",D227,""),D227)</f>
        <v>25569.1875</v>
      </c>
      <c r="P227" s="17">
        <f>IFERROR(IF(N227&gt;O227,G227,O227-N227),"")</f>
        <v>25569.1875</v>
      </c>
      <c r="Q227" s="17">
        <f>IF(U227="",TIME(0,30,0),"")</f>
        <v>25569.1875</v>
      </c>
      <c r="R227" s="17">
        <f>IFERROR(IF(OR(IFERROR((P227-Q227)&lt;0,""),P227="Missing OUT"),"ATTENTION",P227-Q227),"")</f>
        <v>25569.1875</v>
      </c>
      <c r="S227" s="17">
        <f>TIME(8,0,0)</f>
        <v>25569.1875</v>
      </c>
      <c r="T227" s="17">
        <f>IFERROR(IF(R227="ATTENTION",TIME(8,0,0),IF(S227&gt;R227,S227-R227,R227-S227)),"")</f>
        <v>25569.1875</v>
      </c>
      <c r="U227" s="18">
        <f>IFERROR(VLOOKUP(L227,Calendar!$A$2:$C$261,3,0),"")</f>
      </c>
      <c r="V227" s="19">
        <f>IF(AND(LEN(C227)&gt;0,LEN(D227)=0),"NO CHECK-OUT","")</f>
      </c>
      <c r="W227" s="20">
        <f>IFERROR(IF(R227="",W226,IF(R227="ATTENTION",W226-S227,IF(S227&gt;R227,W226-T227,W226+T227))),"")</f>
        <v>25569.1875</v>
      </c>
    </row>
    <row x14ac:dyDescent="0.25" r="228" customHeight="1" ht="17.25">
      <c r="A228" s="21"/>
      <c r="B228" s="24"/>
      <c r="C228" s="35"/>
      <c r="D228" s="35"/>
      <c r="E228" s="37"/>
      <c r="F228" s="37"/>
      <c r="G228" s="21"/>
      <c r="H228" s="21"/>
      <c r="I228" s="21"/>
      <c r="J228" s="43">
        <f>IFERROR(DATE((LEFT(B228,4)),MID(B228,5,2),RIGHT(B228,2)),"")</f>
        <v>25569.1875</v>
      </c>
      <c r="K228" s="21"/>
      <c r="L228" s="49">
        <f>IF(A228="Total Hours","",IF(J228="",L227,J228))</f>
        <v>25569.1875</v>
      </c>
      <c r="M228" s="50">
        <f>A228</f>
      </c>
      <c r="N228" s="17">
        <f>IF(C228="",IF(U228="",C228,""),C228)</f>
        <v>25569.1875</v>
      </c>
      <c r="O228" s="17">
        <f>IF(D228="",IF(U228="",D228,""),D228)</f>
        <v>25569.1875</v>
      </c>
      <c r="P228" s="17">
        <f>IFERROR(IF(N228&gt;O228,G228,O228-N228),"")</f>
        <v>25569.1875</v>
      </c>
      <c r="Q228" s="17">
        <f>IF(U228="",TIME(0,30,0),"")</f>
        <v>25569.1875</v>
      </c>
      <c r="R228" s="17">
        <f>IFERROR(IF(OR(IFERROR((P228-Q228)&lt;0,""),P228="Missing OUT"),"ATTENTION",P228-Q228),"")</f>
        <v>25569.1875</v>
      </c>
      <c r="S228" s="17">
        <f>TIME(8,0,0)</f>
        <v>25569.1875</v>
      </c>
      <c r="T228" s="17">
        <f>IFERROR(IF(R228="ATTENTION",TIME(8,0,0),IF(S228&gt;R228,S228-R228,R228-S228)),"")</f>
        <v>25569.1875</v>
      </c>
      <c r="U228" s="18">
        <f>IFERROR(VLOOKUP(L228,Calendar!$A$2:$C$261,3,0),"")</f>
      </c>
      <c r="V228" s="19">
        <f>IF(AND(LEN(C228)&gt;0,LEN(D228)=0),"NO CHECK-OUT","")</f>
      </c>
      <c r="W228" s="20">
        <f>IFERROR(IF(R228="",W227,IF(R228="ATTENTION",W227-S228,IF(S228&gt;R228,W227-T228,W227+T228))),"")</f>
        <v>25569.1875</v>
      </c>
    </row>
    <row x14ac:dyDescent="0.25" r="229" customHeight="1" ht="17.25">
      <c r="A229" s="21"/>
      <c r="B229" s="24"/>
      <c r="C229" s="35"/>
      <c r="D229" s="35"/>
      <c r="E229" s="37"/>
      <c r="F229" s="37"/>
      <c r="G229" s="21"/>
      <c r="H229" s="21"/>
      <c r="I229" s="21"/>
      <c r="J229" s="43">
        <f>IFERROR(DATE((LEFT(B229,4)),MID(B229,5,2),RIGHT(B229,2)),"")</f>
        <v>25569.1875</v>
      </c>
      <c r="K229" s="21"/>
      <c r="L229" s="49">
        <f>IF(A229="Total Hours","",IF(J229="",L228,J229))</f>
        <v>25569.1875</v>
      </c>
      <c r="M229" s="50">
        <f>A229</f>
      </c>
      <c r="N229" s="17">
        <f>IF(C229="",IF(U229="",C229,""),C229)</f>
        <v>25569.1875</v>
      </c>
      <c r="O229" s="17">
        <f>IF(D229="",IF(U229="",D229,""),D229)</f>
        <v>25569.1875</v>
      </c>
      <c r="P229" s="17">
        <f>IFERROR(IF(N229&gt;O229,G229,O229-N229),"")</f>
        <v>25569.1875</v>
      </c>
      <c r="Q229" s="17">
        <f>IF(U229="",TIME(0,30,0),"")</f>
        <v>25569.1875</v>
      </c>
      <c r="R229" s="17">
        <f>IFERROR(IF(OR(IFERROR((P229-Q229)&lt;0,""),P229="Missing OUT"),"ATTENTION",P229-Q229),"")</f>
        <v>25569.1875</v>
      </c>
      <c r="S229" s="17">
        <f>TIME(8,0,0)</f>
        <v>25569.1875</v>
      </c>
      <c r="T229" s="17">
        <f>IFERROR(IF(R229="ATTENTION",TIME(8,0,0),IF(S229&gt;R229,S229-R229,R229-S229)),"")</f>
        <v>25569.1875</v>
      </c>
      <c r="U229" s="18">
        <f>IFERROR(VLOOKUP(L229,Calendar!$A$2:$C$261,3,0),"")</f>
      </c>
      <c r="V229" s="19">
        <f>IF(AND(LEN(C229)&gt;0,LEN(D229)=0),"NO CHECK-OUT","")</f>
      </c>
      <c r="W229" s="20">
        <f>IFERROR(IF(R229="",W228,IF(R229="ATTENTION",W228-S229,IF(S229&gt;R229,W228-T229,W228+T229))),"")</f>
        <v>25569.1875</v>
      </c>
    </row>
    <row x14ac:dyDescent="0.25" r="230" customHeight="1" ht="17.25">
      <c r="A230" s="21"/>
      <c r="B230" s="24"/>
      <c r="C230" s="35"/>
      <c r="D230" s="35"/>
      <c r="E230" s="37"/>
      <c r="F230" s="37"/>
      <c r="G230" s="21"/>
      <c r="H230" s="21"/>
      <c r="I230" s="21"/>
      <c r="J230" s="43">
        <f>IFERROR(DATE((LEFT(B230,4)),MID(B230,5,2),RIGHT(B230,2)),"")</f>
        <v>25569.1875</v>
      </c>
      <c r="K230" s="21"/>
      <c r="L230" s="49">
        <f>IF(A230="Total Hours","",IF(J230="",L229,J230))</f>
        <v>25569.1875</v>
      </c>
      <c r="M230" s="50">
        <f>A230</f>
      </c>
      <c r="N230" s="17">
        <f>IF(C230="",IF(U230="",C230,""),C230)</f>
        <v>25569.1875</v>
      </c>
      <c r="O230" s="17">
        <f>IF(D230="",IF(U230="",D230,""),D230)</f>
        <v>25569.1875</v>
      </c>
      <c r="P230" s="17">
        <f>IFERROR(IF(N230&gt;O230,G230,O230-N230),"")</f>
        <v>25569.1875</v>
      </c>
      <c r="Q230" s="17">
        <f>IF(U230="",TIME(0,30,0),"")</f>
        <v>25569.1875</v>
      </c>
      <c r="R230" s="17">
        <f>IFERROR(IF(OR(IFERROR((P230-Q230)&lt;0,""),P230="Missing OUT"),"ATTENTION",P230-Q230),"")</f>
        <v>25569.1875</v>
      </c>
      <c r="S230" s="17">
        <f>TIME(8,0,0)</f>
        <v>25569.1875</v>
      </c>
      <c r="T230" s="17">
        <f>IFERROR(IF(R230="ATTENTION",TIME(8,0,0),IF(S230&gt;R230,S230-R230,R230-S230)),"")</f>
        <v>25569.1875</v>
      </c>
      <c r="U230" s="18">
        <f>IFERROR(VLOOKUP(L230,Calendar!$A$2:$C$261,3,0),"")</f>
      </c>
      <c r="V230" s="19">
        <f>IF(AND(LEN(C230)&gt;0,LEN(D230)=0),"NO CHECK-OUT","")</f>
      </c>
      <c r="W230" s="20">
        <f>IFERROR(IF(R230="",W229,IF(R230="ATTENTION",W229-S230,IF(S230&gt;R230,W229-T230,W229+T230))),"")</f>
        <v>25569.1875</v>
      </c>
    </row>
    <row x14ac:dyDescent="0.25" r="231" customHeight="1" ht="17.25">
      <c r="A231" s="21"/>
      <c r="B231" s="24"/>
      <c r="C231" s="35"/>
      <c r="D231" s="35"/>
      <c r="E231" s="37"/>
      <c r="F231" s="37"/>
      <c r="G231" s="21"/>
      <c r="H231" s="21"/>
      <c r="I231" s="21"/>
      <c r="J231" s="43">
        <f>IFERROR(DATE((LEFT(B231,4)),MID(B231,5,2),RIGHT(B231,2)),"")</f>
        <v>25569.1875</v>
      </c>
      <c r="K231" s="21"/>
      <c r="L231" s="49">
        <f>IF(A231="Total Hours","",IF(J231="",L230,J231))</f>
        <v>25569.1875</v>
      </c>
      <c r="M231" s="50">
        <f>A231</f>
      </c>
      <c r="N231" s="17">
        <f>IF(C231="",IF(U231="",C231,""),C231)</f>
        <v>25569.1875</v>
      </c>
      <c r="O231" s="17">
        <f>IF(D231="",IF(U231="",D231,""),D231)</f>
        <v>25569.1875</v>
      </c>
      <c r="P231" s="17">
        <f>IFERROR(IF(N231&gt;O231,G231,O231-N231),"")</f>
        <v>25569.1875</v>
      </c>
      <c r="Q231" s="17">
        <f>IF(U231="",TIME(0,30,0),"")</f>
        <v>25569.1875</v>
      </c>
      <c r="R231" s="17">
        <f>IFERROR(IF(OR(IFERROR((P231-Q231)&lt;0,""),P231="Missing OUT"),"ATTENTION",P231-Q231),"")</f>
        <v>25569.1875</v>
      </c>
      <c r="S231" s="17">
        <f>TIME(8,0,0)</f>
        <v>25569.1875</v>
      </c>
      <c r="T231" s="17">
        <f>IFERROR(IF(R231="ATTENTION",TIME(8,0,0),IF(S231&gt;R231,S231-R231,R231-S231)),"")</f>
        <v>25569.1875</v>
      </c>
      <c r="U231" s="18">
        <f>IFERROR(VLOOKUP(L231,Calendar!$A$2:$C$261,3,0),"")</f>
      </c>
      <c r="V231" s="19">
        <f>IF(AND(LEN(C231)&gt;0,LEN(D231)=0),"NO CHECK-OUT","")</f>
      </c>
      <c r="W231" s="20">
        <f>IFERROR(IF(R231="",W230,IF(R231="ATTENTION",W230-S231,IF(S231&gt;R231,W230-T231,W230+T231))),"")</f>
        <v>25569.1875</v>
      </c>
    </row>
    <row x14ac:dyDescent="0.25" r="232" customHeight="1" ht="17.25">
      <c r="A232" s="21"/>
      <c r="B232" s="24"/>
      <c r="C232" s="35"/>
      <c r="D232" s="35"/>
      <c r="E232" s="37"/>
      <c r="F232" s="37"/>
      <c r="G232" s="21"/>
      <c r="H232" s="21"/>
      <c r="I232" s="21"/>
      <c r="J232" s="43">
        <f>IFERROR(DATE((LEFT(B232,4)),MID(B232,5,2),RIGHT(B232,2)),"")</f>
        <v>25569.1875</v>
      </c>
      <c r="K232" s="21"/>
      <c r="L232" s="49">
        <f>IF(A232="Total Hours","",IF(J232="",L231,J232))</f>
        <v>25569.1875</v>
      </c>
      <c r="M232" s="50">
        <f>A232</f>
      </c>
      <c r="N232" s="17">
        <f>IF(C232="",IF(U232="",C232,""),C232)</f>
        <v>25569.1875</v>
      </c>
      <c r="O232" s="17">
        <f>IF(D232="",IF(U232="",D232,""),D232)</f>
        <v>25569.1875</v>
      </c>
      <c r="P232" s="17">
        <f>IFERROR(IF(N232&gt;O232,G232,O232-N232),"")</f>
        <v>25569.1875</v>
      </c>
      <c r="Q232" s="17">
        <f>IF(U232="",TIME(0,30,0),"")</f>
        <v>25569.1875</v>
      </c>
      <c r="R232" s="17">
        <f>IFERROR(IF(OR(IFERROR((P232-Q232)&lt;0,""),P232="Missing OUT"),"ATTENTION",P232-Q232),"")</f>
        <v>25569.1875</v>
      </c>
      <c r="S232" s="17">
        <f>TIME(8,0,0)</f>
        <v>25569.1875</v>
      </c>
      <c r="T232" s="17">
        <f>IFERROR(IF(R232="ATTENTION",TIME(8,0,0),IF(S232&gt;R232,S232-R232,R232-S232)),"")</f>
        <v>25569.1875</v>
      </c>
      <c r="U232" s="18">
        <f>IFERROR(VLOOKUP(L232,Calendar!$A$2:$C$261,3,0),"")</f>
      </c>
      <c r="V232" s="19">
        <f>IF(AND(LEN(C232)&gt;0,LEN(D232)=0),"NO CHECK-OUT","")</f>
      </c>
      <c r="W232" s="20">
        <f>IFERROR(IF(R232="",W231,IF(R232="ATTENTION",W231-S232,IF(S232&gt;R232,W231-T232,W231+T232))),"")</f>
        <v>25569.1875</v>
      </c>
    </row>
    <row x14ac:dyDescent="0.25" r="233" customHeight="1" ht="17.25">
      <c r="A233" s="21"/>
      <c r="B233" s="24"/>
      <c r="C233" s="35"/>
      <c r="D233" s="35"/>
      <c r="E233" s="37"/>
      <c r="F233" s="37"/>
      <c r="G233" s="21"/>
      <c r="H233" s="21"/>
      <c r="I233" s="21"/>
      <c r="J233" s="43">
        <f>IFERROR(DATE((LEFT(B233,4)),MID(B233,5,2),RIGHT(B233,2)),"")</f>
        <v>25569.1875</v>
      </c>
      <c r="K233" s="21"/>
      <c r="L233" s="49">
        <f>IF(A233="Total Hours","",IF(J233="",L232,J233))</f>
        <v>25569.1875</v>
      </c>
      <c r="M233" s="50">
        <f>A233</f>
      </c>
      <c r="N233" s="17">
        <f>IF(C233="",IF(U233="",C233,""),C233)</f>
        <v>25569.1875</v>
      </c>
      <c r="O233" s="17">
        <f>IF(D233="",IF(U233="",D233,""),D233)</f>
        <v>25569.1875</v>
      </c>
      <c r="P233" s="17">
        <f>IFERROR(IF(N233&gt;O233,G233,O233-N233),"")</f>
        <v>25569.1875</v>
      </c>
      <c r="Q233" s="17">
        <f>IF(U233="",TIME(0,30,0),"")</f>
        <v>25569.1875</v>
      </c>
      <c r="R233" s="17">
        <f>IFERROR(IF(OR(IFERROR((P233-Q233)&lt;0,""),P233="Missing OUT"),"ATTENTION",P233-Q233),"")</f>
        <v>25569.1875</v>
      </c>
      <c r="S233" s="17">
        <f>TIME(8,0,0)</f>
        <v>25569.1875</v>
      </c>
      <c r="T233" s="17">
        <f>IFERROR(IF(R233="ATTENTION",TIME(8,0,0),IF(S233&gt;R233,S233-R233,R233-S233)),"")</f>
        <v>25569.1875</v>
      </c>
      <c r="U233" s="18">
        <f>IFERROR(VLOOKUP(L233,Calendar!$A$2:$C$261,3,0),"")</f>
      </c>
      <c r="V233" s="19">
        <f>IF(AND(LEN(C233)&gt;0,LEN(D233)=0),"NO CHECK-OUT","")</f>
      </c>
      <c r="W233" s="20">
        <f>IFERROR(IF(R233="",W232,IF(R233="ATTENTION",W232-S233,IF(S233&gt;R233,W232-T233,W232+T233))),"")</f>
        <v>25569.1875</v>
      </c>
    </row>
    <row x14ac:dyDescent="0.25" r="234" customHeight="1" ht="17.25">
      <c r="A234" s="21"/>
      <c r="B234" s="24"/>
      <c r="C234" s="35"/>
      <c r="D234" s="35"/>
      <c r="E234" s="37"/>
      <c r="F234" s="37"/>
      <c r="G234" s="21"/>
      <c r="H234" s="21"/>
      <c r="I234" s="21"/>
      <c r="J234" s="43">
        <f>IFERROR(DATE((LEFT(B234,4)),MID(B234,5,2),RIGHT(B234,2)),"")</f>
        <v>25569.1875</v>
      </c>
      <c r="K234" s="21"/>
      <c r="L234" s="49">
        <f>IF(A234="Total Hours","",IF(J234="",L233,J234))</f>
        <v>25569.1875</v>
      </c>
      <c r="M234" s="50">
        <f>A234</f>
      </c>
      <c r="N234" s="17">
        <f>IF(C234="",IF(U234="",C234,""),C234)</f>
        <v>25569.1875</v>
      </c>
      <c r="O234" s="17">
        <f>IF(D234="",IF(U234="",D234,""),D234)</f>
        <v>25569.1875</v>
      </c>
      <c r="P234" s="17">
        <f>IFERROR(IF(N234&gt;O234,G234,O234-N234),"")</f>
        <v>25569.1875</v>
      </c>
      <c r="Q234" s="17">
        <f>IF(U234="",TIME(0,30,0),"")</f>
        <v>25569.1875</v>
      </c>
      <c r="R234" s="17">
        <f>IFERROR(IF(OR(IFERROR((P234-Q234)&lt;0,""),P234="Missing OUT"),"ATTENTION",P234-Q234),"")</f>
        <v>25569.1875</v>
      </c>
      <c r="S234" s="17">
        <f>TIME(8,0,0)</f>
        <v>25569.1875</v>
      </c>
      <c r="T234" s="17">
        <f>IFERROR(IF(R234="ATTENTION",TIME(8,0,0),IF(S234&gt;R234,S234-R234,R234-S234)),"")</f>
        <v>25569.1875</v>
      </c>
      <c r="U234" s="18">
        <f>IFERROR(VLOOKUP(L234,Calendar!$A$2:$C$261,3,0),"")</f>
      </c>
      <c r="V234" s="19">
        <f>IF(AND(LEN(C234)&gt;0,LEN(D234)=0),"NO CHECK-OUT","")</f>
      </c>
      <c r="W234" s="20">
        <f>IFERROR(IF(R234="",W233,IF(R234="ATTENTION",W233-S234,IF(S234&gt;R234,W233-T234,W233+T234))),"")</f>
        <v>25569.1875</v>
      </c>
    </row>
    <row x14ac:dyDescent="0.25" r="235" customHeight="1" ht="17.25">
      <c r="A235" s="21"/>
      <c r="B235" s="24"/>
      <c r="C235" s="35"/>
      <c r="D235" s="35"/>
      <c r="E235" s="37"/>
      <c r="F235" s="37"/>
      <c r="G235" s="21"/>
      <c r="H235" s="21"/>
      <c r="I235" s="21"/>
      <c r="J235" s="43">
        <f>IFERROR(DATE((LEFT(B235,4)),MID(B235,5,2),RIGHT(B235,2)),"")</f>
        <v>25569.1875</v>
      </c>
      <c r="K235" s="21"/>
      <c r="L235" s="49">
        <f>IF(A235="Total Hours","",IF(J235="",L234,J235))</f>
        <v>25569.1875</v>
      </c>
      <c r="M235" s="50">
        <f>A235</f>
      </c>
      <c r="N235" s="17">
        <f>IF(C235="",IF(U235="",C235,""),C235)</f>
        <v>25569.1875</v>
      </c>
      <c r="O235" s="17">
        <f>IF(D235="",IF(U235="",D235,""),D235)</f>
        <v>25569.1875</v>
      </c>
      <c r="P235" s="17">
        <f>IFERROR(IF(N235&gt;O235,G235,O235-N235),"")</f>
        <v>25569.1875</v>
      </c>
      <c r="Q235" s="17">
        <f>IF(U235="",TIME(0,30,0),"")</f>
        <v>25569.1875</v>
      </c>
      <c r="R235" s="17">
        <f>IFERROR(IF(OR(IFERROR((P235-Q235)&lt;0,""),P235="Missing OUT"),"ATTENTION",P235-Q235),"")</f>
        <v>25569.1875</v>
      </c>
      <c r="S235" s="17">
        <f>TIME(8,0,0)</f>
        <v>25569.1875</v>
      </c>
      <c r="T235" s="17">
        <f>IFERROR(IF(R235="ATTENTION",TIME(8,0,0),IF(S235&gt;R235,S235-R235,R235-S235)),"")</f>
        <v>25569.1875</v>
      </c>
      <c r="U235" s="18">
        <f>IFERROR(VLOOKUP(L235,Calendar!$A$2:$C$261,3,0),"")</f>
      </c>
      <c r="V235" s="19">
        <f>IF(AND(LEN(C235)&gt;0,LEN(D235)=0),"NO CHECK-OUT","")</f>
      </c>
      <c r="W235" s="20">
        <f>IFERROR(IF(R235="",W234,IF(R235="ATTENTION",W234-S235,IF(S235&gt;R235,W234-T235,W234+T235))),"")</f>
        <v>25569.1875</v>
      </c>
    </row>
    <row x14ac:dyDescent="0.25" r="236" customHeight="1" ht="17.25">
      <c r="A236" s="21"/>
      <c r="B236" s="24"/>
      <c r="C236" s="35"/>
      <c r="D236" s="35"/>
      <c r="E236" s="37"/>
      <c r="F236" s="37"/>
      <c r="G236" s="21"/>
      <c r="H236" s="21"/>
      <c r="I236" s="21"/>
      <c r="J236" s="43">
        <f>IFERROR(DATE((LEFT(B236,4)),MID(B236,5,2),RIGHT(B236,2)),"")</f>
        <v>25569.1875</v>
      </c>
      <c r="K236" s="21"/>
      <c r="L236" s="49">
        <f>IF(A236="Total Hours","",IF(J236="",L235,J236))</f>
        <v>25569.1875</v>
      </c>
      <c r="M236" s="50">
        <f>A236</f>
      </c>
      <c r="N236" s="17">
        <f>IF(C236="",IF(U236="",C236,""),C236)</f>
        <v>25569.1875</v>
      </c>
      <c r="O236" s="17">
        <f>IF(D236="",IF(U236="",D236,""),D236)</f>
        <v>25569.1875</v>
      </c>
      <c r="P236" s="17">
        <f>IFERROR(IF(N236&gt;O236,G236,O236-N236),"")</f>
        <v>25569.1875</v>
      </c>
      <c r="Q236" s="17">
        <f>IF(U236="",TIME(0,30,0),"")</f>
        <v>25569.1875</v>
      </c>
      <c r="R236" s="17">
        <f>IFERROR(IF(OR(IFERROR((P236-Q236)&lt;0,""),P236="Missing OUT"),"ATTENTION",P236-Q236),"")</f>
        <v>25569.1875</v>
      </c>
      <c r="S236" s="17">
        <f>TIME(8,0,0)</f>
        <v>25569.1875</v>
      </c>
      <c r="T236" s="17">
        <f>IFERROR(IF(R236="ATTENTION",TIME(8,0,0),IF(S236&gt;R236,S236-R236,R236-S236)),"")</f>
        <v>25569.1875</v>
      </c>
      <c r="U236" s="18">
        <f>IFERROR(VLOOKUP(L236,Calendar!$A$2:$C$261,3,0),"")</f>
      </c>
      <c r="V236" s="19">
        <f>IF(AND(LEN(C236)&gt;0,LEN(D236)=0),"NO CHECK-OUT","")</f>
      </c>
      <c r="W236" s="20">
        <f>IFERROR(IF(R236="",W235,IF(R236="ATTENTION",W235-S236,IF(S236&gt;R236,W235-T236,W235+T236))),"")</f>
        <v>25569.1875</v>
      </c>
    </row>
    <row x14ac:dyDescent="0.25" r="237" customHeight="1" ht="17.25">
      <c r="A237" s="21"/>
      <c r="B237" s="24"/>
      <c r="C237" s="35"/>
      <c r="D237" s="35"/>
      <c r="E237" s="37"/>
      <c r="F237" s="37"/>
      <c r="G237" s="21"/>
      <c r="H237" s="21"/>
      <c r="I237" s="21"/>
      <c r="J237" s="43">
        <f>IFERROR(DATE((LEFT(B237,4)),MID(B237,5,2),RIGHT(B237,2)),"")</f>
        <v>25569.1875</v>
      </c>
      <c r="K237" s="21"/>
      <c r="L237" s="49">
        <f>IF(A237="Total Hours","",IF(J237="",L236,J237))</f>
        <v>25569.1875</v>
      </c>
      <c r="M237" s="50">
        <f>A237</f>
      </c>
      <c r="N237" s="17">
        <f>IF(C237="",IF(U237="",C237,""),C237)</f>
        <v>25569.1875</v>
      </c>
      <c r="O237" s="17">
        <f>IF(D237="",IF(U237="",D237,""),D237)</f>
        <v>25569.1875</v>
      </c>
      <c r="P237" s="17">
        <f>IFERROR(IF(N237&gt;O237,G237,O237-N237),"")</f>
        <v>25569.1875</v>
      </c>
      <c r="Q237" s="17">
        <f>IF(U237="",TIME(0,30,0),"")</f>
        <v>25569.1875</v>
      </c>
      <c r="R237" s="17">
        <f>IFERROR(IF(OR(IFERROR((P237-Q237)&lt;0,""),P237="Missing OUT"),"ATTENTION",P237-Q237),"")</f>
        <v>25569.1875</v>
      </c>
      <c r="S237" s="17">
        <f>TIME(8,0,0)</f>
        <v>25569.1875</v>
      </c>
      <c r="T237" s="17">
        <f>IFERROR(IF(R237="ATTENTION",TIME(8,0,0),IF(S237&gt;R237,S237-R237,R237-S237)),"")</f>
        <v>25569.1875</v>
      </c>
      <c r="U237" s="18">
        <f>IFERROR(VLOOKUP(L237,Calendar!$A$2:$C$261,3,0),"")</f>
      </c>
      <c r="V237" s="19">
        <f>IF(AND(LEN(C237)&gt;0,LEN(D237)=0),"NO CHECK-OUT","")</f>
      </c>
      <c r="W237" s="20">
        <f>IFERROR(IF(R237="",W236,IF(R237="ATTENTION",W236-S237,IF(S237&gt;R237,W236-T237,W236+T237))),"")</f>
        <v>25569.1875</v>
      </c>
    </row>
    <row x14ac:dyDescent="0.25" r="238" customHeight="1" ht="17.25">
      <c r="A238" s="21"/>
      <c r="B238" s="24"/>
      <c r="C238" s="35"/>
      <c r="D238" s="35"/>
      <c r="E238" s="37"/>
      <c r="F238" s="37"/>
      <c r="G238" s="21"/>
      <c r="H238" s="21"/>
      <c r="I238" s="21"/>
      <c r="J238" s="43">
        <f>IFERROR(DATE((LEFT(B238,4)),MID(B238,5,2),RIGHT(B238,2)),"")</f>
        <v>25569.1875</v>
      </c>
      <c r="K238" s="21"/>
      <c r="L238" s="49">
        <f>IF(A238="Total Hours","",IF(J238="",L237,J238))</f>
        <v>25569.1875</v>
      </c>
      <c r="M238" s="50">
        <f>A238</f>
      </c>
      <c r="N238" s="17">
        <f>IF(C238="",IF(U238="",C238,""),C238)</f>
        <v>25569.1875</v>
      </c>
      <c r="O238" s="17">
        <f>IF(D238="",IF(U238="",D238,""),D238)</f>
        <v>25569.1875</v>
      </c>
      <c r="P238" s="17">
        <f>IFERROR(IF(N238&gt;O238,G238,O238-N238),"")</f>
        <v>25569.1875</v>
      </c>
      <c r="Q238" s="17">
        <f>IF(U238="",TIME(0,30,0),"")</f>
        <v>25569.1875</v>
      </c>
      <c r="R238" s="17">
        <f>IFERROR(IF(OR(IFERROR((P238-Q238)&lt;0,""),P238="Missing OUT"),"ATTENTION",P238-Q238),"")</f>
        <v>25569.1875</v>
      </c>
      <c r="S238" s="17">
        <f>TIME(8,0,0)</f>
        <v>25569.1875</v>
      </c>
      <c r="T238" s="17">
        <f>IFERROR(IF(R238="ATTENTION",TIME(8,0,0),IF(S238&gt;R238,S238-R238,R238-S238)),"")</f>
        <v>25569.1875</v>
      </c>
      <c r="U238" s="18">
        <f>IFERROR(VLOOKUP(L238,Calendar!$A$2:$C$261,3,0),"")</f>
      </c>
      <c r="V238" s="19">
        <f>IF(AND(LEN(C238)&gt;0,LEN(D238)=0),"NO CHECK-OUT","")</f>
      </c>
      <c r="W238" s="20">
        <f>IFERROR(IF(R238="",W237,IF(R238="ATTENTION",W237-S238,IF(S238&gt;R238,W237-T238,W237+T238))),"")</f>
        <v>25569.1875</v>
      </c>
    </row>
    <row x14ac:dyDescent="0.25" r="239" customHeight="1" ht="17.25">
      <c r="A239" s="21"/>
      <c r="B239" s="24"/>
      <c r="C239" s="35"/>
      <c r="D239" s="35"/>
      <c r="E239" s="37"/>
      <c r="F239" s="37"/>
      <c r="G239" s="21"/>
      <c r="H239" s="21"/>
      <c r="I239" s="21"/>
      <c r="J239" s="43">
        <f>IFERROR(DATE((LEFT(B239,4)),MID(B239,5,2),RIGHT(B239,2)),"")</f>
        <v>25569.1875</v>
      </c>
      <c r="K239" s="21"/>
      <c r="L239" s="49">
        <f>IF(A239="Total Hours","",IF(J239="",L238,J239))</f>
        <v>25569.1875</v>
      </c>
      <c r="M239" s="50">
        <f>A239</f>
      </c>
      <c r="N239" s="17">
        <f>IF(C239="",IF(U239="",C239,""),C239)</f>
        <v>25569.1875</v>
      </c>
      <c r="O239" s="17">
        <f>IF(D239="",IF(U239="",D239,""),D239)</f>
        <v>25569.1875</v>
      </c>
      <c r="P239" s="17">
        <f>IFERROR(IF(N239&gt;O239,G239,O239-N239),"")</f>
        <v>25569.1875</v>
      </c>
      <c r="Q239" s="17">
        <f>IF(U239="",TIME(0,30,0),"")</f>
        <v>25569.1875</v>
      </c>
      <c r="R239" s="17">
        <f>IFERROR(IF(OR(IFERROR((P239-Q239)&lt;0,""),P239="Missing OUT"),"ATTENTION",P239-Q239),"")</f>
        <v>25569.1875</v>
      </c>
      <c r="S239" s="17">
        <f>TIME(8,0,0)</f>
        <v>25569.1875</v>
      </c>
      <c r="T239" s="17">
        <f>IFERROR(IF(R239="ATTENTION",TIME(8,0,0),IF(S239&gt;R239,S239-R239,R239-S239)),"")</f>
        <v>25569.1875</v>
      </c>
      <c r="U239" s="18">
        <f>IFERROR(VLOOKUP(L239,Calendar!$A$2:$C$261,3,0),"")</f>
      </c>
      <c r="V239" s="19">
        <f>IF(AND(LEN(C239)&gt;0,LEN(D239)=0),"NO CHECK-OUT","")</f>
      </c>
      <c r="W239" s="20">
        <f>IFERROR(IF(R239="",W238,IF(R239="ATTENTION",W238-S239,IF(S239&gt;R239,W238-T239,W238+T239))),"")</f>
        <v>25569.1875</v>
      </c>
    </row>
    <row x14ac:dyDescent="0.25" r="240" customHeight="1" ht="17.25">
      <c r="A240" s="21"/>
      <c r="B240" s="24"/>
      <c r="C240" s="35"/>
      <c r="D240" s="35"/>
      <c r="E240" s="37"/>
      <c r="F240" s="37"/>
      <c r="G240" s="21"/>
      <c r="H240" s="21"/>
      <c r="I240" s="21"/>
      <c r="J240" s="43">
        <f>IFERROR(DATE((LEFT(B240,4)),MID(B240,5,2),RIGHT(B240,2)),"")</f>
        <v>25569.1875</v>
      </c>
      <c r="K240" s="21"/>
      <c r="L240" s="49">
        <f>IF(A240="Total Hours","",IF(J240="",L239,J240))</f>
        <v>25569.1875</v>
      </c>
      <c r="M240" s="50">
        <f>A240</f>
      </c>
      <c r="N240" s="17">
        <f>IF(C240="",IF(U240="",C240,""),C240)</f>
        <v>25569.1875</v>
      </c>
      <c r="O240" s="17">
        <f>IF(D240="",IF(U240="",D240,""),D240)</f>
        <v>25569.1875</v>
      </c>
      <c r="P240" s="17">
        <f>IFERROR(IF(N240&gt;O240,G240,O240-N240),"")</f>
        <v>25569.1875</v>
      </c>
      <c r="Q240" s="17">
        <f>IF(U240="",TIME(0,30,0),"")</f>
        <v>25569.1875</v>
      </c>
      <c r="R240" s="17">
        <f>IFERROR(IF(OR(IFERROR((P240-Q240)&lt;0,""),P240="Missing OUT"),"ATTENTION",P240-Q240),"")</f>
        <v>25569.1875</v>
      </c>
      <c r="S240" s="17">
        <f>TIME(8,0,0)</f>
        <v>25569.1875</v>
      </c>
      <c r="T240" s="17">
        <f>IFERROR(IF(R240="ATTENTION",TIME(8,0,0),IF(S240&gt;R240,S240-R240,R240-S240)),"")</f>
        <v>25569.1875</v>
      </c>
      <c r="U240" s="18">
        <f>IFERROR(VLOOKUP(L240,Calendar!$A$2:$C$261,3,0),"")</f>
      </c>
      <c r="V240" s="19">
        <f>IF(AND(LEN(C240)&gt;0,LEN(D240)=0),"NO CHECK-OUT","")</f>
      </c>
      <c r="W240" s="20">
        <f>IFERROR(IF(R240="",W239,IF(R240="ATTENTION",W239-S240,IF(S240&gt;R240,W239-T240,W239+T240))),"")</f>
        <v>25569.1875</v>
      </c>
    </row>
    <row x14ac:dyDescent="0.25" r="241" customHeight="1" ht="17.25">
      <c r="A241" s="21"/>
      <c r="B241" s="24"/>
      <c r="C241" s="35"/>
      <c r="D241" s="35"/>
      <c r="E241" s="37"/>
      <c r="F241" s="37"/>
      <c r="G241" s="21"/>
      <c r="H241" s="21"/>
      <c r="I241" s="21"/>
      <c r="J241" s="43">
        <f>IFERROR(DATE((LEFT(B241,4)),MID(B241,5,2),RIGHT(B241,2)),"")</f>
        <v>25569.1875</v>
      </c>
      <c r="K241" s="21"/>
      <c r="L241" s="49">
        <f>IF(A241="Total Hours","",IF(J241="",L240,J241))</f>
        <v>25569.1875</v>
      </c>
      <c r="M241" s="50">
        <f>A241</f>
      </c>
      <c r="N241" s="17">
        <f>IF(C241="",IF(U241="",C241,""),C241)</f>
        <v>25569.1875</v>
      </c>
      <c r="O241" s="17">
        <f>IF(D241="",IF(U241="",D241,""),D241)</f>
        <v>25569.1875</v>
      </c>
      <c r="P241" s="17">
        <f>IFERROR(IF(N241&gt;O241,G241,O241-N241),"")</f>
        <v>25569.1875</v>
      </c>
      <c r="Q241" s="17">
        <f>IF(U241="",TIME(0,30,0),"")</f>
        <v>25569.1875</v>
      </c>
      <c r="R241" s="17">
        <f>IFERROR(IF(OR(IFERROR((P241-Q241)&lt;0,""),P241="Missing OUT"),"ATTENTION",P241-Q241),"")</f>
        <v>25569.1875</v>
      </c>
      <c r="S241" s="17">
        <f>TIME(8,0,0)</f>
        <v>25569.1875</v>
      </c>
      <c r="T241" s="17">
        <f>IFERROR(IF(R241="ATTENTION",TIME(8,0,0),IF(S241&gt;R241,S241-R241,R241-S241)),"")</f>
        <v>25569.1875</v>
      </c>
      <c r="U241" s="18">
        <f>IFERROR(VLOOKUP(L241,Calendar!$A$2:$C$261,3,0),"")</f>
      </c>
      <c r="V241" s="19">
        <f>IF(AND(LEN(C241)&gt;0,LEN(D241)=0),"NO CHECK-OUT","")</f>
      </c>
      <c r="W241" s="20">
        <f>IFERROR(IF(R241="",W240,IF(R241="ATTENTION",W240-S241,IF(S241&gt;R241,W240-T241,W240+T241))),"")</f>
        <v>25569.1875</v>
      </c>
    </row>
    <row x14ac:dyDescent="0.25" r="242" customHeight="1" ht="17.25">
      <c r="A242" s="21"/>
      <c r="B242" s="24"/>
      <c r="C242" s="35"/>
      <c r="D242" s="35"/>
      <c r="E242" s="37"/>
      <c r="F242" s="37"/>
      <c r="G242" s="21"/>
      <c r="H242" s="21"/>
      <c r="I242" s="21"/>
      <c r="J242" s="43">
        <f>IFERROR(DATE((LEFT(B242,4)),MID(B242,5,2),RIGHT(B242,2)),"")</f>
        <v>25569.1875</v>
      </c>
      <c r="K242" s="21"/>
      <c r="L242" s="49">
        <f>IF(A242="Total Hours","",IF(J242="",L241,J242))</f>
        <v>25569.1875</v>
      </c>
      <c r="M242" s="50">
        <f>A242</f>
      </c>
      <c r="N242" s="17">
        <f>IF(C242="",IF(U242="",C242,""),C242)</f>
        <v>25569.1875</v>
      </c>
      <c r="O242" s="17">
        <f>IF(D242="",IF(U242="",D242,""),D242)</f>
        <v>25569.1875</v>
      </c>
      <c r="P242" s="17">
        <f>IFERROR(IF(N242&gt;O242,G242,O242-N242),"")</f>
        <v>25569.1875</v>
      </c>
      <c r="Q242" s="17">
        <f>IF(U242="",TIME(0,30,0),"")</f>
        <v>25569.1875</v>
      </c>
      <c r="R242" s="17">
        <f>IFERROR(IF(OR(IFERROR((P242-Q242)&lt;0,""),P242="Missing OUT"),"ATTENTION",P242-Q242),"")</f>
        <v>25569.1875</v>
      </c>
      <c r="S242" s="17">
        <f>TIME(8,0,0)</f>
        <v>25569.1875</v>
      </c>
      <c r="T242" s="17">
        <f>IFERROR(IF(R242="ATTENTION",TIME(8,0,0),IF(S242&gt;R242,S242-R242,R242-S242)),"")</f>
        <v>25569.1875</v>
      </c>
      <c r="U242" s="18">
        <f>IFERROR(VLOOKUP(L242,Calendar!$A$2:$C$261,3,0),"")</f>
      </c>
      <c r="V242" s="19">
        <f>IF(AND(LEN(C242)&gt;0,LEN(D242)=0),"NO CHECK-OUT","")</f>
      </c>
      <c r="W242" s="20">
        <f>IFERROR(IF(R242="",W241,IF(R242="ATTENTION",W241-S242,IF(S242&gt;R242,W241-T242,W241+T242))),"")</f>
        <v>25569.1875</v>
      </c>
    </row>
    <row x14ac:dyDescent="0.25" r="243" customHeight="1" ht="17.25">
      <c r="A243" s="21"/>
      <c r="B243" s="24"/>
      <c r="C243" s="35"/>
      <c r="D243" s="35"/>
      <c r="E243" s="37"/>
      <c r="F243" s="37"/>
      <c r="G243" s="21"/>
      <c r="H243" s="21"/>
      <c r="I243" s="21"/>
      <c r="J243" s="43">
        <f>IFERROR(DATE((LEFT(B243,4)),MID(B243,5,2),RIGHT(B243,2)),"")</f>
        <v>25569.1875</v>
      </c>
      <c r="K243" s="21"/>
      <c r="L243" s="49">
        <f>IF(A243="Total Hours","",IF(J243="",L242,J243))</f>
        <v>25569.1875</v>
      </c>
      <c r="M243" s="50">
        <f>A243</f>
      </c>
      <c r="N243" s="17">
        <f>IF(C243="",IF(U243="",C243,""),C243)</f>
        <v>25569.1875</v>
      </c>
      <c r="O243" s="17">
        <f>IF(D243="",IF(U243="",D243,""),D243)</f>
        <v>25569.1875</v>
      </c>
      <c r="P243" s="17">
        <f>IFERROR(IF(N243&gt;O243,G243,O243-N243),"")</f>
        <v>25569.1875</v>
      </c>
      <c r="Q243" s="17">
        <f>IF(U243="",TIME(0,30,0),"")</f>
        <v>25569.1875</v>
      </c>
      <c r="R243" s="17">
        <f>IFERROR(IF(OR(IFERROR((P243-Q243)&lt;0,""),P243="Missing OUT"),"ATTENTION",P243-Q243),"")</f>
        <v>25569.1875</v>
      </c>
      <c r="S243" s="17">
        <f>TIME(8,0,0)</f>
        <v>25569.1875</v>
      </c>
      <c r="T243" s="17">
        <f>IFERROR(IF(R243="ATTENTION",TIME(8,0,0),IF(S243&gt;R243,S243-R243,R243-S243)),"")</f>
        <v>25569.1875</v>
      </c>
      <c r="U243" s="18">
        <f>IFERROR(VLOOKUP(L243,Calendar!$A$2:$C$261,3,0),"")</f>
      </c>
      <c r="V243" s="19">
        <f>IF(AND(LEN(C243)&gt;0,LEN(D243)=0),"NO CHECK-OUT","")</f>
      </c>
      <c r="W243" s="20">
        <f>IFERROR(IF(R243="",W242,IF(R243="ATTENTION",W242-S243,IF(S243&gt;R243,W242-T243,W242+T243))),"")</f>
        <v>25569.1875</v>
      </c>
    </row>
    <row x14ac:dyDescent="0.25" r="244" customHeight="1" ht="17.25">
      <c r="A244" s="21"/>
      <c r="B244" s="24"/>
      <c r="C244" s="35"/>
      <c r="D244" s="35"/>
      <c r="E244" s="37"/>
      <c r="F244" s="37"/>
      <c r="G244" s="21"/>
      <c r="H244" s="21"/>
      <c r="I244" s="21"/>
      <c r="J244" s="43">
        <f>IFERROR(DATE((LEFT(B244,4)),MID(B244,5,2),RIGHT(B244,2)),"")</f>
        <v>25569.1875</v>
      </c>
      <c r="K244" s="21"/>
      <c r="L244" s="49">
        <f>IF(A244="Total Hours","",IF(J244="",L243,J244))</f>
        <v>25569.1875</v>
      </c>
      <c r="M244" s="50">
        <f>A244</f>
      </c>
      <c r="N244" s="17">
        <f>IF(C244="",IF(U244="",C244,""),C244)</f>
        <v>25569.1875</v>
      </c>
      <c r="O244" s="17">
        <f>IF(D244="",IF(U244="",D244,""),D244)</f>
        <v>25569.1875</v>
      </c>
      <c r="P244" s="17">
        <f>IFERROR(IF(N244&gt;O244,G244,O244-N244),"")</f>
        <v>25569.1875</v>
      </c>
      <c r="Q244" s="17">
        <f>IF(U244="",TIME(0,30,0),"")</f>
        <v>25569.1875</v>
      </c>
      <c r="R244" s="17">
        <f>IFERROR(IF(OR(IFERROR((P244-Q244)&lt;0,""),P244="Missing OUT"),"ATTENTION",P244-Q244),"")</f>
        <v>25569.1875</v>
      </c>
      <c r="S244" s="17">
        <f>TIME(8,0,0)</f>
        <v>25569.1875</v>
      </c>
      <c r="T244" s="17">
        <f>IFERROR(IF(R244="ATTENTION",TIME(8,0,0),IF(S244&gt;R244,S244-R244,R244-S244)),"")</f>
        <v>25569.1875</v>
      </c>
      <c r="U244" s="18">
        <f>IFERROR(VLOOKUP(L244,Calendar!$A$2:$C$261,3,0),"")</f>
      </c>
      <c r="V244" s="19">
        <f>IF(AND(LEN(C244)&gt;0,LEN(D244)=0),"NO CHECK-OUT","")</f>
      </c>
      <c r="W244" s="20">
        <f>IFERROR(IF(R244="",W243,IF(R244="ATTENTION",W243-S244,IF(S244&gt;R244,W243-T244,W243+T244))),"")</f>
        <v>25569.1875</v>
      </c>
    </row>
    <row x14ac:dyDescent="0.25" r="245" customHeight="1" ht="17.25">
      <c r="A245" s="21"/>
      <c r="B245" s="24"/>
      <c r="C245" s="35"/>
      <c r="D245" s="35"/>
      <c r="E245" s="37"/>
      <c r="F245" s="37"/>
      <c r="G245" s="21"/>
      <c r="H245" s="21"/>
      <c r="I245" s="21"/>
      <c r="J245" s="43">
        <f>IFERROR(DATE((LEFT(B245,4)),MID(B245,5,2),RIGHT(B245,2)),"")</f>
        <v>25569.1875</v>
      </c>
      <c r="K245" s="21"/>
      <c r="L245" s="49">
        <f>IF(A245="Total Hours","",IF(J245="",L244,J245))</f>
        <v>25569.1875</v>
      </c>
      <c r="M245" s="50">
        <f>A245</f>
      </c>
      <c r="N245" s="17">
        <f>IF(C245="",IF(U245="",C245,""),C245)</f>
        <v>25569.1875</v>
      </c>
      <c r="O245" s="17">
        <f>IF(D245="",IF(U245="",D245,""),D245)</f>
        <v>25569.1875</v>
      </c>
      <c r="P245" s="17">
        <f>IFERROR(IF(N245&gt;O245,G245,O245-N245),"")</f>
        <v>25569.1875</v>
      </c>
      <c r="Q245" s="17">
        <f>IF(U245="",TIME(0,30,0),"")</f>
        <v>25569.1875</v>
      </c>
      <c r="R245" s="17">
        <f>IFERROR(IF(OR(IFERROR((P245-Q245)&lt;0,""),P245="Missing OUT"),"ATTENTION",P245-Q245),"")</f>
        <v>25569.1875</v>
      </c>
      <c r="S245" s="17">
        <f>TIME(8,0,0)</f>
        <v>25569.1875</v>
      </c>
      <c r="T245" s="17">
        <f>IFERROR(IF(R245="ATTENTION",TIME(8,0,0),IF(S245&gt;R245,S245-R245,R245-S245)),"")</f>
        <v>25569.1875</v>
      </c>
      <c r="U245" s="18">
        <f>IFERROR(VLOOKUP(L245,Calendar!$A$2:$C$261,3,0),"")</f>
      </c>
      <c r="V245" s="19">
        <f>IF(AND(LEN(C245)&gt;0,LEN(D245)=0),"NO CHECK-OUT","")</f>
      </c>
      <c r="W245" s="20">
        <f>IFERROR(IF(R245="",W244,IF(R245="ATTENTION",W244-S245,IF(S245&gt;R245,W244-T245,W244+T245))),"")</f>
        <v>25569.1875</v>
      </c>
    </row>
    <row x14ac:dyDescent="0.25" r="246" customHeight="1" ht="17.25">
      <c r="A246" s="21"/>
      <c r="B246" s="24"/>
      <c r="C246" s="35"/>
      <c r="D246" s="35"/>
      <c r="E246" s="37"/>
      <c r="F246" s="37"/>
      <c r="G246" s="21"/>
      <c r="H246" s="21"/>
      <c r="I246" s="21"/>
      <c r="J246" s="43">
        <f>IFERROR(DATE((LEFT(B246,4)),MID(B246,5,2),RIGHT(B246,2)),"")</f>
        <v>25569.1875</v>
      </c>
      <c r="K246" s="21"/>
      <c r="L246" s="49">
        <f>IF(A246="Total Hours","",IF(J246="",L245,J246))</f>
        <v>25569.1875</v>
      </c>
      <c r="M246" s="50">
        <f>A246</f>
      </c>
      <c r="N246" s="17">
        <f>IF(C246="",IF(U246="",C246,""),C246)</f>
        <v>25569.1875</v>
      </c>
      <c r="O246" s="17">
        <f>IF(D246="",IF(U246="",D246,""),D246)</f>
        <v>25569.1875</v>
      </c>
      <c r="P246" s="17">
        <f>IFERROR(IF(N246&gt;O246,G246,O246-N246),"")</f>
        <v>25569.1875</v>
      </c>
      <c r="Q246" s="17">
        <f>IF(U246="",TIME(0,30,0),"")</f>
        <v>25569.1875</v>
      </c>
      <c r="R246" s="17">
        <f>IFERROR(IF(OR(IFERROR((P246-Q246)&lt;0,""),P246="Missing OUT"),"ATTENTION",P246-Q246),"")</f>
        <v>25569.1875</v>
      </c>
      <c r="S246" s="17">
        <f>TIME(8,0,0)</f>
        <v>25569.1875</v>
      </c>
      <c r="T246" s="17">
        <f>IFERROR(IF(R246="ATTENTION",TIME(8,0,0),IF(S246&gt;R246,S246-R246,R246-S246)),"")</f>
        <v>25569.1875</v>
      </c>
      <c r="U246" s="18">
        <f>IFERROR(VLOOKUP(L246,Calendar!$A$2:$C$261,3,0),"")</f>
      </c>
      <c r="V246" s="19">
        <f>IF(AND(LEN(C246)&gt;0,LEN(D246)=0),"NO CHECK-OUT","")</f>
      </c>
      <c r="W246" s="20">
        <f>IFERROR(IF(R246="",W245,IF(R246="ATTENTION",W245-S246,IF(S246&gt;R246,W245-T246,W245+T246))),"")</f>
        <v>25569.1875</v>
      </c>
    </row>
    <row x14ac:dyDescent="0.25" r="247" customHeight="1" ht="17.25">
      <c r="A247" s="21"/>
      <c r="B247" s="24"/>
      <c r="C247" s="35"/>
      <c r="D247" s="35"/>
      <c r="E247" s="37"/>
      <c r="F247" s="37"/>
      <c r="G247" s="21"/>
      <c r="H247" s="21"/>
      <c r="I247" s="21"/>
      <c r="J247" s="43">
        <f>IFERROR(DATE((LEFT(B247,4)),MID(B247,5,2),RIGHT(B247,2)),"")</f>
        <v>25569.1875</v>
      </c>
      <c r="K247" s="21"/>
      <c r="L247" s="49">
        <f>IF(A247="Total Hours","",IF(J247="",L246,J247))</f>
        <v>25569.1875</v>
      </c>
      <c r="M247" s="50">
        <f>A247</f>
      </c>
      <c r="N247" s="17">
        <f>IF(C247="",IF(U247="",C247,""),C247)</f>
        <v>25569.1875</v>
      </c>
      <c r="O247" s="17">
        <f>IF(D247="",IF(U247="",D247,""),D247)</f>
        <v>25569.1875</v>
      </c>
      <c r="P247" s="17">
        <f>IFERROR(IF(N247&gt;O247,G247,O247-N247),"")</f>
        <v>25569.1875</v>
      </c>
      <c r="Q247" s="17">
        <f>IF(U247="",TIME(0,30,0),"")</f>
        <v>25569.1875</v>
      </c>
      <c r="R247" s="17">
        <f>IFERROR(IF(OR(IFERROR((P247-Q247)&lt;0,""),P247="Missing OUT"),"ATTENTION",P247-Q247),"")</f>
        <v>25569.1875</v>
      </c>
      <c r="S247" s="17">
        <f>TIME(8,0,0)</f>
        <v>25569.1875</v>
      </c>
      <c r="T247" s="17">
        <f>IFERROR(IF(R247="ATTENTION",TIME(8,0,0),IF(S247&gt;R247,S247-R247,R247-S247)),"")</f>
        <v>25569.1875</v>
      </c>
      <c r="U247" s="18">
        <f>IFERROR(VLOOKUP(L247,Calendar!$A$2:$C$261,3,0),"")</f>
      </c>
      <c r="V247" s="19">
        <f>IF(AND(LEN(C247)&gt;0,LEN(D247)=0),"NO CHECK-OUT","")</f>
      </c>
      <c r="W247" s="20">
        <f>IFERROR(IF(R247="",W246,IF(R247="ATTENTION",W246-S247,IF(S247&gt;R247,W246-T247,W246+T247))),"")</f>
        <v>25569.1875</v>
      </c>
    </row>
    <row x14ac:dyDescent="0.25" r="248" customHeight="1" ht="17.25">
      <c r="A248" s="21"/>
      <c r="B248" s="24"/>
      <c r="C248" s="35"/>
      <c r="D248" s="35"/>
      <c r="E248" s="37"/>
      <c r="F248" s="37"/>
      <c r="G248" s="21"/>
      <c r="H248" s="21"/>
      <c r="I248" s="21"/>
      <c r="J248" s="43">
        <f>IFERROR(DATE((LEFT(B248,4)),MID(B248,5,2),RIGHT(B248,2)),"")</f>
        <v>25569.1875</v>
      </c>
      <c r="K248" s="21"/>
      <c r="L248" s="49">
        <f>IF(A248="Total Hours","",IF(J248="",L247,J248))</f>
        <v>25569.1875</v>
      </c>
      <c r="M248" s="50">
        <f>A248</f>
      </c>
      <c r="N248" s="17">
        <f>IF(C248="",IF(U248="",C248,""),C248)</f>
        <v>25569.1875</v>
      </c>
      <c r="O248" s="17">
        <f>IF(D248="",IF(U248="",D248,""),D248)</f>
        <v>25569.1875</v>
      </c>
      <c r="P248" s="17">
        <f>IFERROR(IF(N248&gt;O248,G248,O248-N248),"")</f>
        <v>25569.1875</v>
      </c>
      <c r="Q248" s="17">
        <f>IF(U248="",TIME(0,30,0),"")</f>
        <v>25569.1875</v>
      </c>
      <c r="R248" s="17">
        <f>IFERROR(IF(OR(IFERROR((P248-Q248)&lt;0,""),P248="Missing OUT"),"ATTENTION",P248-Q248),"")</f>
        <v>25569.1875</v>
      </c>
      <c r="S248" s="17">
        <f>TIME(8,0,0)</f>
        <v>25569.1875</v>
      </c>
      <c r="T248" s="17">
        <f>IFERROR(IF(R248="ATTENTION",TIME(8,0,0),IF(S248&gt;R248,S248-R248,R248-S248)),"")</f>
        <v>25569.1875</v>
      </c>
      <c r="U248" s="18">
        <f>IFERROR(VLOOKUP(L248,Calendar!$A$2:$C$261,3,0),"")</f>
      </c>
      <c r="V248" s="19">
        <f>IF(AND(LEN(C248)&gt;0,LEN(D248)=0),"NO CHECK-OUT","")</f>
      </c>
      <c r="W248" s="20">
        <f>IFERROR(IF(R248="",W247,IF(R248="ATTENTION",W247-S248,IF(S248&gt;R248,W247-T248,W247+T248))),"")</f>
        <v>25569.1875</v>
      </c>
    </row>
    <row x14ac:dyDescent="0.25" r="249" customHeight="1" ht="17.25">
      <c r="A249" s="21"/>
      <c r="B249" s="24"/>
      <c r="C249" s="35"/>
      <c r="D249" s="35"/>
      <c r="E249" s="37"/>
      <c r="F249" s="37"/>
      <c r="G249" s="21"/>
      <c r="H249" s="21"/>
      <c r="I249" s="21"/>
      <c r="J249" s="43">
        <f>IFERROR(DATE((LEFT(B249,4)),MID(B249,5,2),RIGHT(B249,2)),"")</f>
        <v>25569.1875</v>
      </c>
      <c r="K249" s="21"/>
      <c r="L249" s="49">
        <f>IF(A249="Total Hours","",IF(J249="",L248,J249))</f>
        <v>25569.1875</v>
      </c>
      <c r="M249" s="50">
        <f>A249</f>
      </c>
      <c r="N249" s="17">
        <f>IF(C249="",IF(U249="",C249,""),C249)</f>
        <v>25569.1875</v>
      </c>
      <c r="O249" s="17">
        <f>IF(D249="",IF(U249="",D249,""),D249)</f>
        <v>25569.1875</v>
      </c>
      <c r="P249" s="17">
        <f>IFERROR(IF(N249&gt;O249,G249,O249-N249),"")</f>
        <v>25569.1875</v>
      </c>
      <c r="Q249" s="17">
        <f>IF(U249="",TIME(0,30,0),"")</f>
        <v>25569.1875</v>
      </c>
      <c r="R249" s="17">
        <f>IFERROR(IF(OR(IFERROR((P249-Q249)&lt;0,""),P249="Missing OUT"),"ATTENTION",P249-Q249),"")</f>
        <v>25569.1875</v>
      </c>
      <c r="S249" s="17">
        <f>TIME(8,0,0)</f>
        <v>25569.1875</v>
      </c>
      <c r="T249" s="17">
        <f>IFERROR(IF(R249="ATTENTION",TIME(8,0,0),IF(S249&gt;R249,S249-R249,R249-S249)),"")</f>
        <v>25569.1875</v>
      </c>
      <c r="U249" s="18">
        <f>IFERROR(VLOOKUP(L249,Calendar!$A$2:$C$261,3,0),"")</f>
      </c>
      <c r="V249" s="19">
        <f>IF(AND(LEN(C249)&gt;0,LEN(D249)=0),"NO CHECK-OUT","")</f>
      </c>
      <c r="W249" s="20">
        <f>IFERROR(IF(R249="",W248,IF(R249="ATTENTION",W248-S249,IF(S249&gt;R249,W248-T249,W248+T249))),"")</f>
        <v>25569.1875</v>
      </c>
    </row>
    <row x14ac:dyDescent="0.25" r="250" customHeight="1" ht="17.25">
      <c r="A250" s="21"/>
      <c r="B250" s="24"/>
      <c r="C250" s="35"/>
      <c r="D250" s="35"/>
      <c r="E250" s="37"/>
      <c r="F250" s="37"/>
      <c r="G250" s="21"/>
      <c r="H250" s="21"/>
      <c r="I250" s="21"/>
      <c r="J250" s="43">
        <f>IFERROR(DATE((LEFT(B250,4)),MID(B250,5,2),RIGHT(B250,2)),"")</f>
        <v>25569.1875</v>
      </c>
      <c r="K250" s="21"/>
      <c r="L250" s="49">
        <f>IF(A250="Total Hours","",IF(J250="",L249,J250))</f>
        <v>25569.1875</v>
      </c>
      <c r="M250" s="50">
        <f>A250</f>
      </c>
      <c r="N250" s="17">
        <f>IF(C250="",IF(U250="",C250,""),C250)</f>
        <v>25569.1875</v>
      </c>
      <c r="O250" s="17">
        <f>IF(D250="",IF(U250="",D250,""),D250)</f>
        <v>25569.1875</v>
      </c>
      <c r="P250" s="17">
        <f>IFERROR(IF(N250&gt;O250,G250,O250-N250),"")</f>
        <v>25569.1875</v>
      </c>
      <c r="Q250" s="17">
        <f>IF(U250="",TIME(0,30,0),"")</f>
        <v>25569.1875</v>
      </c>
      <c r="R250" s="17">
        <f>IFERROR(IF(OR(IFERROR((P250-Q250)&lt;0,""),P250="Missing OUT"),"ATTENTION",P250-Q250),"")</f>
        <v>25569.1875</v>
      </c>
      <c r="S250" s="17">
        <f>TIME(8,0,0)</f>
        <v>25569.1875</v>
      </c>
      <c r="T250" s="17">
        <f>IFERROR(IF(R250="ATTENTION",TIME(8,0,0),IF(S250&gt;R250,S250-R250,R250-S250)),"")</f>
        <v>25569.1875</v>
      </c>
      <c r="U250" s="18">
        <f>IFERROR(VLOOKUP(L250,Calendar!$A$2:$C$261,3,0),"")</f>
      </c>
      <c r="V250" s="19">
        <f>IF(AND(LEN(C250)&gt;0,LEN(D250)=0),"NO CHECK-OUT","")</f>
      </c>
      <c r="W250" s="20">
        <f>IFERROR(IF(R250="",W249,IF(R250="ATTENTION",W249-S250,IF(S250&gt;R250,W249-T250,W249+T250))),"")</f>
        <v>25569.1875</v>
      </c>
    </row>
    <row x14ac:dyDescent="0.25" r="251" customHeight="1" ht="17.25">
      <c r="A251" s="21"/>
      <c r="B251" s="24"/>
      <c r="C251" s="35"/>
      <c r="D251" s="35"/>
      <c r="E251" s="37"/>
      <c r="F251" s="37"/>
      <c r="G251" s="21"/>
      <c r="H251" s="21"/>
      <c r="I251" s="21"/>
      <c r="J251" s="43">
        <f>IFERROR(DATE((LEFT(B251,4)),MID(B251,5,2),RIGHT(B251,2)),"")</f>
        <v>25569.1875</v>
      </c>
      <c r="K251" s="21"/>
      <c r="L251" s="49">
        <f>IF(A251="Total Hours","",IF(J251="",L250,J251))</f>
        <v>25569.1875</v>
      </c>
      <c r="M251" s="50">
        <f>A251</f>
      </c>
      <c r="N251" s="17">
        <f>IF(C251="",IF(U251="",C251,""),C251)</f>
        <v>25569.1875</v>
      </c>
      <c r="O251" s="17">
        <f>IF(D251="",IF(U251="",D251,""),D251)</f>
        <v>25569.1875</v>
      </c>
      <c r="P251" s="17">
        <f>IFERROR(IF(N251&gt;O251,G251,O251-N251),"")</f>
        <v>25569.1875</v>
      </c>
      <c r="Q251" s="17">
        <f>IF(U251="",TIME(0,30,0),"")</f>
        <v>25569.1875</v>
      </c>
      <c r="R251" s="17">
        <f>IFERROR(IF(OR(IFERROR((P251-Q251)&lt;0,""),P251="Missing OUT"),"ATTENTION",P251-Q251),"")</f>
        <v>25569.1875</v>
      </c>
      <c r="S251" s="17">
        <f>TIME(8,0,0)</f>
        <v>25569.1875</v>
      </c>
      <c r="T251" s="17">
        <f>IFERROR(IF(R251="ATTENTION",TIME(8,0,0),IF(S251&gt;R251,S251-R251,R251-S251)),"")</f>
        <v>25569.1875</v>
      </c>
      <c r="U251" s="18">
        <f>IFERROR(VLOOKUP(L251,Calendar!$A$2:$C$261,3,0),"")</f>
      </c>
      <c r="V251" s="19">
        <f>IF(AND(LEN(C251)&gt;0,LEN(D251)=0),"NO CHECK-OUT","")</f>
      </c>
      <c r="W251" s="20">
        <f>IFERROR(IF(R251="",W250,IF(R251="ATTENTION",W250-S251,IF(S251&gt;R251,W250-T251,W250+T251))),"")</f>
        <v>25569.1875</v>
      </c>
    </row>
    <row x14ac:dyDescent="0.25" r="252" customHeight="1" ht="17.25">
      <c r="A252" s="21"/>
      <c r="B252" s="24"/>
      <c r="C252" s="35"/>
      <c r="D252" s="35"/>
      <c r="E252" s="37"/>
      <c r="F252" s="37"/>
      <c r="G252" s="21"/>
      <c r="H252" s="21"/>
      <c r="I252" s="21"/>
      <c r="J252" s="43">
        <f>IFERROR(DATE((LEFT(B252,4)),MID(B252,5,2),RIGHT(B252,2)),"")</f>
        <v>25569.1875</v>
      </c>
      <c r="K252" s="21"/>
      <c r="L252" s="49">
        <f>IF(A252="Total Hours","",IF(J252="",L251,J252))</f>
        <v>25569.1875</v>
      </c>
      <c r="M252" s="50">
        <f>A252</f>
      </c>
      <c r="N252" s="17">
        <f>IF(C252="",IF(U252="",C252,""),C252)</f>
        <v>25569.1875</v>
      </c>
      <c r="O252" s="17">
        <f>IF(D252="",IF(U252="",D252,""),D252)</f>
        <v>25569.1875</v>
      </c>
      <c r="P252" s="17">
        <f>IFERROR(IF(N252&gt;O252,G252,O252-N252),"")</f>
        <v>25569.1875</v>
      </c>
      <c r="Q252" s="17">
        <f>IF(U252="",TIME(0,30,0),"")</f>
        <v>25569.1875</v>
      </c>
      <c r="R252" s="17">
        <f>IFERROR(IF(OR(IFERROR((P252-Q252)&lt;0,""),P252="Missing OUT"),"ATTENTION",P252-Q252),"")</f>
        <v>25569.1875</v>
      </c>
      <c r="S252" s="17">
        <f>TIME(8,0,0)</f>
        <v>25569.1875</v>
      </c>
      <c r="T252" s="17">
        <f>IFERROR(IF(R252="ATTENTION",TIME(8,0,0),IF(S252&gt;R252,S252-R252,R252-S252)),"")</f>
        <v>25569.1875</v>
      </c>
      <c r="U252" s="18">
        <f>IFERROR(VLOOKUP(L252,Calendar!$A$2:$C$261,3,0),"")</f>
      </c>
      <c r="V252" s="19">
        <f>IF(AND(LEN(C252)&gt;0,LEN(D252)=0),"NO CHECK-OUT","")</f>
      </c>
      <c r="W252" s="20">
        <f>IFERROR(IF(R252="",W251,IF(R252="ATTENTION",W251-S252,IF(S252&gt;R252,W251-T252,W251+T252))),"")</f>
        <v>25569.1875</v>
      </c>
    </row>
    <row x14ac:dyDescent="0.25" r="253" customHeight="1" ht="17.25">
      <c r="A253" s="21"/>
      <c r="B253" s="24"/>
      <c r="C253" s="35"/>
      <c r="D253" s="35"/>
      <c r="E253" s="37"/>
      <c r="F253" s="37"/>
      <c r="G253" s="21"/>
      <c r="H253" s="21"/>
      <c r="I253" s="21"/>
      <c r="J253" s="43">
        <f>IFERROR(DATE((LEFT(B253,4)),MID(B253,5,2),RIGHT(B253,2)),"")</f>
        <v>25569.1875</v>
      </c>
      <c r="K253" s="21"/>
      <c r="L253" s="49">
        <f>IF(A253="Total Hours","",IF(J253="",L252,J253))</f>
        <v>25569.1875</v>
      </c>
      <c r="M253" s="50">
        <f>A253</f>
      </c>
      <c r="N253" s="17">
        <f>IF(C253="",IF(U253="",C253,""),C253)</f>
        <v>25569.1875</v>
      </c>
      <c r="O253" s="17">
        <f>IF(D253="",IF(U253="",D253,""),D253)</f>
        <v>25569.1875</v>
      </c>
      <c r="P253" s="17">
        <f>IFERROR(IF(N253&gt;O253,G253,O253-N253),"")</f>
        <v>25569.1875</v>
      </c>
      <c r="Q253" s="17">
        <f>IF(U253="",TIME(0,30,0),"")</f>
        <v>25569.1875</v>
      </c>
      <c r="R253" s="17">
        <f>IFERROR(IF(OR(IFERROR((P253-Q253)&lt;0,""),P253="Missing OUT"),"ATTENTION",P253-Q253),"")</f>
        <v>25569.1875</v>
      </c>
      <c r="S253" s="17">
        <f>TIME(8,0,0)</f>
        <v>25569.1875</v>
      </c>
      <c r="T253" s="17">
        <f>IFERROR(IF(R253="ATTENTION",TIME(8,0,0),IF(S253&gt;R253,S253-R253,R253-S253)),"")</f>
        <v>25569.1875</v>
      </c>
      <c r="U253" s="18">
        <f>IFERROR(VLOOKUP(L253,Calendar!$A$2:$C$261,3,0),"")</f>
      </c>
      <c r="V253" s="19">
        <f>IF(AND(LEN(C253)&gt;0,LEN(D253)=0),"NO CHECK-OUT","")</f>
      </c>
      <c r="W253" s="20">
        <f>IFERROR(IF(R253="",W252,IF(R253="ATTENTION",W252-S253,IF(S253&gt;R253,W252-T253,W252+T253))),"")</f>
        <v>25569.1875</v>
      </c>
    </row>
    <row x14ac:dyDescent="0.25" r="254" customHeight="1" ht="17.25">
      <c r="A254" s="21"/>
      <c r="B254" s="24"/>
      <c r="C254" s="35"/>
      <c r="D254" s="35"/>
      <c r="E254" s="37"/>
      <c r="F254" s="37"/>
      <c r="G254" s="21"/>
      <c r="H254" s="21"/>
      <c r="I254" s="21"/>
      <c r="J254" s="43">
        <f>IFERROR(DATE((LEFT(B254,4)),MID(B254,5,2),RIGHT(B254,2)),"")</f>
        <v>25569.1875</v>
      </c>
      <c r="K254" s="21"/>
      <c r="L254" s="49">
        <f>IF(A254="Total Hours","",IF(J254="",L253,J254))</f>
        <v>25569.1875</v>
      </c>
      <c r="M254" s="50">
        <f>A254</f>
      </c>
      <c r="N254" s="17">
        <f>IF(C254="",IF(U254="",C254,""),C254)</f>
        <v>25569.1875</v>
      </c>
      <c r="O254" s="17">
        <f>IF(D254="",IF(U254="",D254,""),D254)</f>
        <v>25569.1875</v>
      </c>
      <c r="P254" s="17">
        <f>IFERROR(IF(N254&gt;O254,G254,O254-N254),"")</f>
        <v>25569.1875</v>
      </c>
      <c r="Q254" s="17">
        <f>IF(U254="",TIME(0,30,0),"")</f>
        <v>25569.1875</v>
      </c>
      <c r="R254" s="17">
        <f>IFERROR(IF(OR(IFERROR((P254-Q254)&lt;0,""),P254="Missing OUT"),"ATTENTION",P254-Q254),"")</f>
        <v>25569.1875</v>
      </c>
      <c r="S254" s="17">
        <f>TIME(8,0,0)</f>
        <v>25569.1875</v>
      </c>
      <c r="T254" s="17">
        <f>IFERROR(IF(R254="ATTENTION",TIME(8,0,0),IF(S254&gt;R254,S254-R254,R254-S254)),"")</f>
        <v>25569.1875</v>
      </c>
      <c r="U254" s="18">
        <f>IFERROR(VLOOKUP(L254,Calendar!$A$2:$C$261,3,0),"")</f>
      </c>
      <c r="V254" s="19">
        <f>IF(AND(LEN(C254)&gt;0,LEN(D254)=0),"NO CHECK-OUT","")</f>
      </c>
      <c r="W254" s="20">
        <f>IFERROR(IF(R254="",W253,IF(R254="ATTENTION",W253-S254,IF(S254&gt;R254,W253-T254,W253+T254))),"")</f>
        <v>25569.1875</v>
      </c>
    </row>
    <row x14ac:dyDescent="0.25" r="255" customHeight="1" ht="17.25">
      <c r="A255" s="21"/>
      <c r="B255" s="24"/>
      <c r="C255" s="35"/>
      <c r="D255" s="35"/>
      <c r="E255" s="37"/>
      <c r="F255" s="37"/>
      <c r="G255" s="21"/>
      <c r="H255" s="21"/>
      <c r="I255" s="21"/>
      <c r="J255" s="43">
        <f>IFERROR(DATE((LEFT(B255,4)),MID(B255,5,2),RIGHT(B255,2)),"")</f>
        <v>25569.1875</v>
      </c>
      <c r="K255" s="21"/>
      <c r="L255" s="49">
        <f>IF(A255="Total Hours","",IF(J255="",L254,J255))</f>
        <v>25569.1875</v>
      </c>
      <c r="M255" s="50">
        <f>A255</f>
      </c>
      <c r="N255" s="17">
        <f>IF(C255="",IF(U255="",C255,""),C255)</f>
        <v>25569.1875</v>
      </c>
      <c r="O255" s="17">
        <f>IF(D255="",IF(U255="",D255,""),D255)</f>
        <v>25569.1875</v>
      </c>
      <c r="P255" s="17">
        <f>IFERROR(IF(N255&gt;O255,G255,O255-N255),"")</f>
        <v>25569.1875</v>
      </c>
      <c r="Q255" s="17">
        <f>IF(U255="",TIME(0,30,0),"")</f>
        <v>25569.1875</v>
      </c>
      <c r="R255" s="17">
        <f>IFERROR(IF(OR(IFERROR((P255-Q255)&lt;0,""),P255="Missing OUT"),"ATTENTION",P255-Q255),"")</f>
        <v>25569.1875</v>
      </c>
      <c r="S255" s="17">
        <f>TIME(8,0,0)</f>
        <v>25569.1875</v>
      </c>
      <c r="T255" s="17">
        <f>IFERROR(IF(R255="ATTENTION",TIME(8,0,0),IF(S255&gt;R255,S255-R255,R255-S255)),"")</f>
        <v>25569.1875</v>
      </c>
      <c r="U255" s="18">
        <f>IFERROR(VLOOKUP(L255,Calendar!$A$2:$C$261,3,0),"")</f>
      </c>
      <c r="V255" s="19">
        <f>IF(AND(LEN(C255)&gt;0,LEN(D255)=0),"NO CHECK-OUT","")</f>
      </c>
      <c r="W255" s="20">
        <f>IFERROR(IF(R255="",W254,IF(R255="ATTENTION",W254-S255,IF(S255&gt;R255,W254-T255,W254+T255))),"")</f>
        <v>25569.1875</v>
      </c>
    </row>
    <row x14ac:dyDescent="0.25" r="256" customHeight="1" ht="17.25">
      <c r="A256" s="21"/>
      <c r="B256" s="24"/>
      <c r="C256" s="35"/>
      <c r="D256" s="35"/>
      <c r="E256" s="37"/>
      <c r="F256" s="37"/>
      <c r="G256" s="21"/>
      <c r="H256" s="21"/>
      <c r="I256" s="21"/>
      <c r="J256" s="43">
        <f>IFERROR(DATE((LEFT(B256,4)),MID(B256,5,2),RIGHT(B256,2)),"")</f>
        <v>25569.1875</v>
      </c>
      <c r="K256" s="21"/>
      <c r="L256" s="49">
        <f>IF(A256="Total Hours","",IF(J256="",L255,J256))</f>
        <v>25569.1875</v>
      </c>
      <c r="M256" s="50">
        <f>A256</f>
      </c>
      <c r="N256" s="17">
        <f>IF(C256="",IF(U256="",C256,""),C256)</f>
        <v>25569.1875</v>
      </c>
      <c r="O256" s="17">
        <f>IF(D256="",IF(U256="",D256,""),D256)</f>
        <v>25569.1875</v>
      </c>
      <c r="P256" s="17">
        <f>IFERROR(IF(N256&gt;O256,G256,O256-N256),"")</f>
        <v>25569.1875</v>
      </c>
      <c r="Q256" s="17">
        <f>IF(U256="",TIME(0,30,0),"")</f>
        <v>25569.1875</v>
      </c>
      <c r="R256" s="17">
        <f>IFERROR(IF(OR(IFERROR((P256-Q256)&lt;0,""),P256="Missing OUT"),"ATTENTION",P256-Q256),"")</f>
        <v>25569.1875</v>
      </c>
      <c r="S256" s="17">
        <f>TIME(8,0,0)</f>
        <v>25569.1875</v>
      </c>
      <c r="T256" s="17">
        <f>IFERROR(IF(R256="ATTENTION",TIME(8,0,0),IF(S256&gt;R256,S256-R256,R256-S256)),"")</f>
        <v>25569.1875</v>
      </c>
      <c r="U256" s="18">
        <f>IFERROR(VLOOKUP(L256,Calendar!$A$2:$C$261,3,0),"")</f>
      </c>
      <c r="V256" s="19">
        <f>IF(AND(LEN(C256)&gt;0,LEN(D256)=0),"NO CHECK-OUT","")</f>
      </c>
      <c r="W256" s="20">
        <f>IFERROR(IF(R256="",W255,IF(R256="ATTENTION",W255-S256,IF(S256&gt;R256,W255-T256,W255+T256))),"")</f>
        <v>25569.1875</v>
      </c>
    </row>
    <row x14ac:dyDescent="0.25" r="257" customHeight="1" ht="17.25">
      <c r="A257" s="21"/>
      <c r="B257" s="24"/>
      <c r="C257" s="35"/>
      <c r="D257" s="35"/>
      <c r="E257" s="37"/>
      <c r="F257" s="37"/>
      <c r="G257" s="21"/>
      <c r="H257" s="21"/>
      <c r="I257" s="21"/>
      <c r="J257" s="43">
        <f>IFERROR(DATE((LEFT(B257,4)),MID(B257,5,2),RIGHT(B257,2)),"")</f>
        <v>25569.1875</v>
      </c>
      <c r="K257" s="21"/>
      <c r="L257" s="49">
        <f>IF(A257="Total Hours","",IF(J257="",L256,J257))</f>
        <v>25569.1875</v>
      </c>
      <c r="M257" s="50">
        <f>A257</f>
      </c>
      <c r="N257" s="17">
        <f>IF(C257="",IF(U257="",C257,""),C257)</f>
        <v>25569.1875</v>
      </c>
      <c r="O257" s="17">
        <f>IF(D257="",IF(U257="",D257,""),D257)</f>
        <v>25569.1875</v>
      </c>
      <c r="P257" s="17">
        <f>IFERROR(IF(N257&gt;O257,G257,O257-N257),"")</f>
        <v>25569.1875</v>
      </c>
      <c r="Q257" s="17">
        <f>IF(U257="",TIME(0,30,0),"")</f>
        <v>25569.1875</v>
      </c>
      <c r="R257" s="17">
        <f>IFERROR(IF(OR(IFERROR((P257-Q257)&lt;0,""),P257="Missing OUT"),"ATTENTION",P257-Q257),"")</f>
        <v>25569.1875</v>
      </c>
      <c r="S257" s="17">
        <f>TIME(8,0,0)</f>
        <v>25569.1875</v>
      </c>
      <c r="T257" s="17">
        <f>IFERROR(IF(R257="ATTENTION",TIME(8,0,0),IF(S257&gt;R257,S257-R257,R257-S257)),"")</f>
        <v>25569.1875</v>
      </c>
      <c r="U257" s="18">
        <f>IFERROR(VLOOKUP(L257,Calendar!$A$2:$C$261,3,0),"")</f>
      </c>
      <c r="V257" s="19">
        <f>IF(AND(LEN(C257)&gt;0,LEN(D257)=0),"NO CHECK-OUT","")</f>
      </c>
      <c r="W257" s="20">
        <f>IFERROR(IF(R257="",W256,IF(R257="ATTENTION",W256-S257,IF(S257&gt;R257,W256-T257,W256+T257))),"")</f>
        <v>25569.1875</v>
      </c>
    </row>
    <row x14ac:dyDescent="0.25" r="258" customHeight="1" ht="17.25">
      <c r="A258" s="21"/>
      <c r="B258" s="24"/>
      <c r="C258" s="35"/>
      <c r="D258" s="35"/>
      <c r="E258" s="37"/>
      <c r="F258" s="37"/>
      <c r="G258" s="21"/>
      <c r="H258" s="21"/>
      <c r="I258" s="21"/>
      <c r="J258" s="43">
        <f>IFERROR(DATE((LEFT(B258,4)),MID(B258,5,2),RIGHT(B258,2)),"")</f>
        <v>25569.1875</v>
      </c>
      <c r="K258" s="21"/>
      <c r="L258" s="49">
        <f>IF(A258="Total Hours","",IF(J258="",L257,J258))</f>
        <v>25569.1875</v>
      </c>
      <c r="M258" s="50">
        <f>A258</f>
      </c>
      <c r="N258" s="17">
        <f>IF(C258="",IF(U258="",C258,""),C258)</f>
        <v>25569.1875</v>
      </c>
      <c r="O258" s="17">
        <f>IF(D258="",IF(U258="",D258,""),D258)</f>
        <v>25569.1875</v>
      </c>
      <c r="P258" s="17">
        <f>IFERROR(IF(N258&gt;O258,G258,O258-N258),"")</f>
        <v>25569.1875</v>
      </c>
      <c r="Q258" s="17">
        <f>IF(U258="",TIME(0,30,0),"")</f>
        <v>25569.1875</v>
      </c>
      <c r="R258" s="17">
        <f>IFERROR(IF(OR(IFERROR((P258-Q258)&lt;0,""),P258="Missing OUT"),"ATTENTION",P258-Q258),"")</f>
        <v>25569.1875</v>
      </c>
      <c r="S258" s="17">
        <f>TIME(8,0,0)</f>
        <v>25569.1875</v>
      </c>
      <c r="T258" s="17">
        <f>IFERROR(IF(R258="ATTENTION",TIME(8,0,0),IF(S258&gt;R258,S258-R258,R258-S258)),"")</f>
        <v>25569.1875</v>
      </c>
      <c r="U258" s="18">
        <f>IFERROR(VLOOKUP(L258,Calendar!$A$2:$C$261,3,0),"")</f>
      </c>
      <c r="V258" s="19">
        <f>IF(AND(LEN(C258)&gt;0,LEN(D258)=0),"NO CHECK-OUT","")</f>
      </c>
      <c r="W258" s="20">
        <f>IFERROR(IF(R258="",W257,IF(R258="ATTENTION",W257-S258,IF(S258&gt;R258,W257-T258,W257+T258))),"")</f>
        <v>25569.1875</v>
      </c>
    </row>
    <row x14ac:dyDescent="0.25" r="259" customHeight="1" ht="17.25">
      <c r="A259" s="21"/>
      <c r="B259" s="24"/>
      <c r="C259" s="35"/>
      <c r="D259" s="35"/>
      <c r="E259" s="37"/>
      <c r="F259" s="37"/>
      <c r="G259" s="21"/>
      <c r="H259" s="21"/>
      <c r="I259" s="21"/>
      <c r="J259" s="43">
        <f>IFERROR(DATE((LEFT(B259,4)),MID(B259,5,2),RIGHT(B259,2)),"")</f>
        <v>25569.1875</v>
      </c>
      <c r="K259" s="21"/>
      <c r="L259" s="49">
        <f>IF(A259="Total Hours","",IF(J259="",L258,J259))</f>
        <v>25569.1875</v>
      </c>
      <c r="M259" s="50">
        <f>A259</f>
      </c>
      <c r="N259" s="17">
        <f>IF(C259="",IF(U259="",C259,""),C259)</f>
        <v>25569.1875</v>
      </c>
      <c r="O259" s="17">
        <f>IF(D259="",IF(U259="",D259,""),D259)</f>
        <v>25569.1875</v>
      </c>
      <c r="P259" s="17">
        <f>IFERROR(IF(N259&gt;O259,G259,O259-N259),"")</f>
        <v>25569.1875</v>
      </c>
      <c r="Q259" s="17">
        <f>IF(U259="",TIME(0,30,0),"")</f>
        <v>25569.1875</v>
      </c>
      <c r="R259" s="17">
        <f>IFERROR(IF(OR(IFERROR((P259-Q259)&lt;0,""),P259="Missing OUT"),"ATTENTION",P259-Q259),"")</f>
        <v>25569.1875</v>
      </c>
      <c r="S259" s="17">
        <f>TIME(8,0,0)</f>
        <v>25569.1875</v>
      </c>
      <c r="T259" s="17">
        <f>IFERROR(IF(R259="ATTENTION",TIME(8,0,0),IF(S259&gt;R259,S259-R259,R259-S259)),"")</f>
        <v>25569.1875</v>
      </c>
      <c r="U259" s="18">
        <f>IFERROR(VLOOKUP(L259,Calendar!$A$2:$C$261,3,0),"")</f>
      </c>
      <c r="V259" s="19">
        <f>IF(AND(LEN(C259)&gt;0,LEN(D259)=0),"NO CHECK-OUT","")</f>
      </c>
      <c r="W259" s="20">
        <f>IFERROR(IF(R259="",W258,IF(R259="ATTENTION",W258-S259,IF(S259&gt;R259,W258-T259,W258+T259))),"")</f>
        <v>25569.1875</v>
      </c>
    </row>
    <row x14ac:dyDescent="0.25" r="260" customHeight="1" ht="17.25">
      <c r="A260" s="21"/>
      <c r="B260" s="24"/>
      <c r="C260" s="35"/>
      <c r="D260" s="35"/>
      <c r="E260" s="37"/>
      <c r="F260" s="37"/>
      <c r="G260" s="21"/>
      <c r="H260" s="21"/>
      <c r="I260" s="21"/>
      <c r="J260" s="43">
        <f>IFERROR(DATE((LEFT(B260,4)),MID(B260,5,2),RIGHT(B260,2)),"")</f>
        <v>25569.1875</v>
      </c>
      <c r="K260" s="21"/>
      <c r="L260" s="49">
        <f>IF(A260="Total Hours","",IF(J260="",L259,J260))</f>
        <v>25569.1875</v>
      </c>
      <c r="M260" s="50">
        <f>A260</f>
      </c>
      <c r="N260" s="17">
        <f>IF(C260="",IF(U260="",C260,""),C260)</f>
        <v>25569.1875</v>
      </c>
      <c r="O260" s="17">
        <f>IF(D260="",IF(U260="",D260,""),D260)</f>
        <v>25569.1875</v>
      </c>
      <c r="P260" s="17">
        <f>IFERROR(IF(N260&gt;O260,G260,O260-N260),"")</f>
        <v>25569.1875</v>
      </c>
      <c r="Q260" s="17">
        <f>IF(U260="",TIME(0,30,0),"")</f>
        <v>25569.1875</v>
      </c>
      <c r="R260" s="17">
        <f>IFERROR(IF(OR(IFERROR((P260-Q260)&lt;0,""),P260="Missing OUT"),"ATTENTION",P260-Q260),"")</f>
        <v>25569.1875</v>
      </c>
      <c r="S260" s="17">
        <f>TIME(8,0,0)</f>
        <v>25569.1875</v>
      </c>
      <c r="T260" s="17">
        <f>IFERROR(IF(R260="ATTENTION",TIME(8,0,0),IF(S260&gt;R260,S260-R260,R260-S260)),"")</f>
        <v>25569.1875</v>
      </c>
      <c r="U260" s="18">
        <f>IFERROR(VLOOKUP(L260,Calendar!$A$2:$C$261,3,0),"")</f>
      </c>
      <c r="V260" s="19">
        <f>IF(AND(LEN(C260)&gt;0,LEN(D260)=0),"NO CHECK-OUT","")</f>
      </c>
      <c r="W260" s="20">
        <f>IFERROR(IF(R260="",W259,IF(R260="ATTENTION",W259-S260,IF(S260&gt;R260,W259-T260,W259+T260))),"")</f>
        <v>25569.1875</v>
      </c>
    </row>
    <row x14ac:dyDescent="0.25" r="261" customHeight="1" ht="17.25">
      <c r="A261" s="21"/>
      <c r="B261" s="24"/>
      <c r="C261" s="35"/>
      <c r="D261" s="35"/>
      <c r="E261" s="37"/>
      <c r="F261" s="37"/>
      <c r="G261" s="21"/>
      <c r="H261" s="21"/>
      <c r="I261" s="21"/>
      <c r="J261" s="43">
        <f>IFERROR(DATE((LEFT(B261,4)),MID(B261,5,2),RIGHT(B261,2)),"")</f>
        <v>25569.1875</v>
      </c>
      <c r="K261" s="21"/>
      <c r="L261" s="49">
        <f>IF(A261="Total Hours","",IF(J261="",L260,J261))</f>
        <v>25569.1875</v>
      </c>
      <c r="M261" s="50">
        <f>A261</f>
      </c>
      <c r="N261" s="17">
        <f>IF(C261="",IF(U261="",C261,""),C261)</f>
        <v>25569.1875</v>
      </c>
      <c r="O261" s="17">
        <f>IF(D261="",IF(U261="",D261,""),D261)</f>
        <v>25569.1875</v>
      </c>
      <c r="P261" s="17">
        <f>IFERROR(IF(N261&gt;O261,G261,O261-N261),"")</f>
        <v>25569.1875</v>
      </c>
      <c r="Q261" s="17">
        <f>IF(U261="",TIME(0,30,0),"")</f>
        <v>25569.1875</v>
      </c>
      <c r="R261" s="17">
        <f>IFERROR(IF(OR(IFERROR((P261-Q261)&lt;0,""),P261="Missing OUT"),"ATTENTION",P261-Q261),"")</f>
        <v>25569.1875</v>
      </c>
      <c r="S261" s="17">
        <f>TIME(8,0,0)</f>
        <v>25569.1875</v>
      </c>
      <c r="T261" s="17">
        <f>IFERROR(IF(R261="ATTENTION",TIME(8,0,0),IF(S261&gt;R261,S261-R261,R261-S261)),"")</f>
        <v>25569.1875</v>
      </c>
      <c r="U261" s="18">
        <f>IFERROR(VLOOKUP(L261,Calendar!$A$2:$C$261,3,0),"")</f>
      </c>
      <c r="V261" s="19">
        <f>IF(AND(LEN(C261)&gt;0,LEN(D261)=0),"NO CHECK-OUT","")</f>
      </c>
      <c r="W261" s="20">
        <f>IFERROR(IF(R261="",W260,IF(R261="ATTENTION",W260-S261,IF(S261&gt;R261,W260-T261,W260+T261))),"")</f>
        <v>25569.1875</v>
      </c>
    </row>
    <row x14ac:dyDescent="0.25" r="262" customHeight="1" ht="17.25">
      <c r="A262" s="21"/>
      <c r="B262" s="24"/>
      <c r="C262" s="35"/>
      <c r="D262" s="35"/>
      <c r="E262" s="37"/>
      <c r="F262" s="37"/>
      <c r="G262" s="21"/>
      <c r="H262" s="21"/>
      <c r="I262" s="21"/>
      <c r="J262" s="43">
        <f>IFERROR(DATE((LEFT(B262,4)),MID(B262,5,2),RIGHT(B262,2)),"")</f>
        <v>25569.1875</v>
      </c>
      <c r="K262" s="21"/>
      <c r="L262" s="49">
        <f>IF(A262="Total Hours","",IF(J262="",L261,J262))</f>
        <v>25569.1875</v>
      </c>
      <c r="M262" s="50">
        <f>A262</f>
      </c>
      <c r="N262" s="17">
        <f>IF(C262="",IF(U262="",C262,""),C262)</f>
        <v>25569.1875</v>
      </c>
      <c r="O262" s="17">
        <f>IF(D262="",IF(U262="",D262,""),D262)</f>
        <v>25569.1875</v>
      </c>
      <c r="P262" s="17">
        <f>IFERROR(IF(N262&gt;O262,G262,O262-N262),"")</f>
        <v>25569.1875</v>
      </c>
      <c r="Q262" s="17">
        <f>IF(U262="",TIME(0,30,0),"")</f>
        <v>25569.1875</v>
      </c>
      <c r="R262" s="17">
        <f>IFERROR(IF(OR(IFERROR((P262-Q262)&lt;0,""),P262="Missing OUT"),"ATTENTION",P262-Q262),"")</f>
        <v>25569.1875</v>
      </c>
      <c r="S262" s="17">
        <f>TIME(8,0,0)</f>
        <v>25569.1875</v>
      </c>
      <c r="T262" s="17">
        <f>IFERROR(IF(R262="ATTENTION",TIME(8,0,0),IF(S262&gt;R262,S262-R262,R262-S262)),"")</f>
        <v>25569.1875</v>
      </c>
      <c r="U262" s="18">
        <f>IFERROR(VLOOKUP(L262,Calendar!$A$2:$C$261,3,0),"")</f>
      </c>
      <c r="V262" s="19">
        <f>IF(AND(LEN(C262)&gt;0,LEN(D262)=0),"NO CHECK-OUT","")</f>
      </c>
      <c r="W262" s="20">
        <f>IFERROR(IF(R262="",W261,IF(R262="ATTENTION",W261-S262,IF(S262&gt;R262,W261-T262,W261+T262))),"")</f>
        <v>25569.1875</v>
      </c>
    </row>
    <row x14ac:dyDescent="0.25" r="263" customHeight="1" ht="17.25">
      <c r="A263" s="21"/>
      <c r="B263" s="24"/>
      <c r="C263" s="35"/>
      <c r="D263" s="35"/>
      <c r="E263" s="37"/>
      <c r="F263" s="37"/>
      <c r="G263" s="21"/>
      <c r="H263" s="21"/>
      <c r="I263" s="21"/>
      <c r="J263" s="43">
        <f>IFERROR(DATE((LEFT(B263,4)),MID(B263,5,2),RIGHT(B263,2)),"")</f>
        <v>25569.1875</v>
      </c>
      <c r="K263" s="21"/>
      <c r="L263" s="49">
        <f>IF(A263="Total Hours","",IF(J263="",L262,J263))</f>
        <v>25569.1875</v>
      </c>
      <c r="M263" s="50">
        <f>A263</f>
      </c>
      <c r="N263" s="17">
        <f>IF(C263="",IF(U263="",C263,""),C263)</f>
        <v>25569.1875</v>
      </c>
      <c r="O263" s="17">
        <f>IF(D263="",IF(U263="",D263,""),D263)</f>
        <v>25569.1875</v>
      </c>
      <c r="P263" s="17">
        <f>IFERROR(IF(N263&gt;O263,G263,O263-N263),"")</f>
        <v>25569.1875</v>
      </c>
      <c r="Q263" s="17">
        <f>IF(U263="",TIME(0,30,0),"")</f>
        <v>25569.1875</v>
      </c>
      <c r="R263" s="17">
        <f>IFERROR(IF(OR(IFERROR((P263-Q263)&lt;0,""),P263="Missing OUT"),"ATTENTION",P263-Q263),"")</f>
        <v>25569.1875</v>
      </c>
      <c r="S263" s="17">
        <f>TIME(8,0,0)</f>
        <v>25569.1875</v>
      </c>
      <c r="T263" s="17">
        <f>IFERROR(IF(R263="ATTENTION",TIME(8,0,0),IF(S263&gt;R263,S263-R263,R263-S263)),"")</f>
        <v>25569.1875</v>
      </c>
      <c r="U263" s="18">
        <f>IFERROR(VLOOKUP(L263,Calendar!$A$2:$C$261,3,0),"")</f>
      </c>
      <c r="V263" s="19">
        <f>IF(AND(LEN(C263)&gt;0,LEN(D263)=0),"NO CHECK-OUT","")</f>
      </c>
      <c r="W263" s="20">
        <f>IFERROR(IF(R263="",W262,IF(R263="ATTENTION",W262-S263,IF(S263&gt;R263,W262-T263,W262+T263))),"")</f>
        <v>25569.1875</v>
      </c>
    </row>
    <row x14ac:dyDescent="0.25" r="264" customHeight="1" ht="17.25">
      <c r="A264" s="21"/>
      <c r="B264" s="24"/>
      <c r="C264" s="35"/>
      <c r="D264" s="35"/>
      <c r="E264" s="37"/>
      <c r="F264" s="37"/>
      <c r="G264" s="21"/>
      <c r="H264" s="21"/>
      <c r="I264" s="21"/>
      <c r="J264" s="43">
        <f>IFERROR(DATE((LEFT(B264,4)),MID(B264,5,2),RIGHT(B264,2)),"")</f>
        <v>25569.1875</v>
      </c>
      <c r="K264" s="21"/>
      <c r="L264" s="49">
        <f>IF(A264="Total Hours","",IF(J264="",L263,J264))</f>
        <v>25569.1875</v>
      </c>
      <c r="M264" s="50">
        <f>A264</f>
      </c>
      <c r="N264" s="17">
        <f>IF(C264="",IF(U264="",C264,""),C264)</f>
        <v>25569.1875</v>
      </c>
      <c r="O264" s="17">
        <f>IF(D264="",IF(U264="",D264,""),D264)</f>
        <v>25569.1875</v>
      </c>
      <c r="P264" s="17">
        <f>IFERROR(IF(N264&gt;O264,G264,O264-N264),"")</f>
        <v>25569.1875</v>
      </c>
      <c r="Q264" s="17">
        <f>IF(U264="",TIME(0,30,0),"")</f>
        <v>25569.1875</v>
      </c>
      <c r="R264" s="17">
        <f>IFERROR(IF(OR(IFERROR((P264-Q264)&lt;0,""),P264="Missing OUT"),"ATTENTION",P264-Q264),"")</f>
        <v>25569.1875</v>
      </c>
      <c r="S264" s="17">
        <f>TIME(8,0,0)</f>
        <v>25569.1875</v>
      </c>
      <c r="T264" s="17">
        <f>IFERROR(IF(R264="ATTENTION",TIME(8,0,0),IF(S264&gt;R264,S264-R264,R264-S264)),"")</f>
        <v>25569.1875</v>
      </c>
      <c r="U264" s="18">
        <f>IFERROR(VLOOKUP(L264,Calendar!$A$2:$C$261,3,0),"")</f>
      </c>
      <c r="V264" s="19">
        <f>IF(AND(LEN(C264)&gt;0,LEN(D264)=0),"NO CHECK-OUT","")</f>
      </c>
      <c r="W264" s="20">
        <f>IFERROR(IF(R264="",W263,IF(R264="ATTENTION",W263-S264,IF(S264&gt;R264,W263-T264,W263+T264))),"")</f>
        <v>25569.1875</v>
      </c>
    </row>
    <row x14ac:dyDescent="0.25" r="265" customHeight="1" ht="17.25">
      <c r="A265" s="21"/>
      <c r="B265" s="24"/>
      <c r="C265" s="35"/>
      <c r="D265" s="35"/>
      <c r="E265" s="37"/>
      <c r="F265" s="37"/>
      <c r="G265" s="21"/>
      <c r="H265" s="21"/>
      <c r="I265" s="21"/>
      <c r="J265" s="43">
        <f>IFERROR(DATE((LEFT(B265,4)),MID(B265,5,2),RIGHT(B265,2)),"")</f>
        <v>25569.1875</v>
      </c>
      <c r="K265" s="21"/>
      <c r="L265" s="49">
        <f>IF(A265="Total Hours","",IF(J265="",L264,J265))</f>
        <v>25569.1875</v>
      </c>
      <c r="M265" s="50">
        <f>A265</f>
      </c>
      <c r="N265" s="17">
        <f>IF(C265="",IF(U265="",C265,""),C265)</f>
        <v>25569.1875</v>
      </c>
      <c r="O265" s="17">
        <f>IF(D265="",IF(U265="",D265,""),D265)</f>
        <v>25569.1875</v>
      </c>
      <c r="P265" s="17">
        <f>IFERROR(IF(N265&gt;O265,G265,O265-N265),"")</f>
        <v>25569.1875</v>
      </c>
      <c r="Q265" s="17">
        <f>IF(U265="",TIME(0,30,0),"")</f>
        <v>25569.1875</v>
      </c>
      <c r="R265" s="17">
        <f>IFERROR(IF(OR(IFERROR((P265-Q265)&lt;0,""),P265="Missing OUT"),"ATTENTION",P265-Q265),"")</f>
        <v>25569.1875</v>
      </c>
      <c r="S265" s="17">
        <f>TIME(8,0,0)</f>
        <v>25569.1875</v>
      </c>
      <c r="T265" s="17">
        <f>IFERROR(IF(R265="ATTENTION",TIME(8,0,0),IF(S265&gt;R265,S265-R265,R265-S265)),"")</f>
        <v>25569.1875</v>
      </c>
      <c r="U265" s="18">
        <f>IFERROR(VLOOKUP(L265,Calendar!$A$2:$C$261,3,0),"")</f>
      </c>
      <c r="V265" s="19">
        <f>IF(AND(LEN(C265)&gt;0,LEN(D265)=0),"NO CHECK-OUT","")</f>
      </c>
      <c r="W265" s="20">
        <f>IFERROR(IF(R265="",W264,IF(R265="ATTENTION",W264-S265,IF(S265&gt;R265,W264-T265,W264+T265))),"")</f>
        <v>25569.1875</v>
      </c>
    </row>
    <row x14ac:dyDescent="0.25" r="266" customHeight="1" ht="17.25">
      <c r="A266" s="21"/>
      <c r="B266" s="24"/>
      <c r="C266" s="35"/>
      <c r="D266" s="35"/>
      <c r="E266" s="37"/>
      <c r="F266" s="37"/>
      <c r="G266" s="21"/>
      <c r="H266" s="21"/>
      <c r="I266" s="21"/>
      <c r="J266" s="43">
        <f>IFERROR(DATE((LEFT(B266,4)),MID(B266,5,2),RIGHT(B266,2)),"")</f>
        <v>25569.1875</v>
      </c>
      <c r="K266" s="21"/>
      <c r="L266" s="49">
        <f>IF(A266="Total Hours","",IF(J266="",L265,J266))</f>
        <v>25569.1875</v>
      </c>
      <c r="M266" s="50">
        <f>A266</f>
      </c>
      <c r="N266" s="17">
        <f>IF(C266="",IF(U266="",C266,""),C266)</f>
        <v>25569.1875</v>
      </c>
      <c r="O266" s="17">
        <f>IF(D266="",IF(U266="",D266,""),D266)</f>
        <v>25569.1875</v>
      </c>
      <c r="P266" s="17">
        <f>IFERROR(IF(N266&gt;O266,G266,O266-N266),"")</f>
        <v>25569.1875</v>
      </c>
      <c r="Q266" s="17">
        <f>IF(U266="",TIME(0,30,0),"")</f>
        <v>25569.1875</v>
      </c>
      <c r="R266" s="17">
        <f>IFERROR(IF(OR(IFERROR((P266-Q266)&lt;0,""),P266="Missing OUT"),"ATTENTION",P266-Q266),"")</f>
        <v>25569.1875</v>
      </c>
      <c r="S266" s="17">
        <f>TIME(8,0,0)</f>
        <v>25569.1875</v>
      </c>
      <c r="T266" s="17">
        <f>IFERROR(IF(R266="ATTENTION",TIME(8,0,0),IF(S266&gt;R266,S266-R266,R266-S266)),"")</f>
        <v>25569.1875</v>
      </c>
      <c r="U266" s="18">
        <f>IFERROR(VLOOKUP(L266,Calendar!$A$2:$C$261,3,0),"")</f>
      </c>
      <c r="V266" s="19">
        <f>IF(AND(LEN(C266)&gt;0,LEN(D266)=0),"NO CHECK-OUT","")</f>
      </c>
      <c r="W266" s="20">
        <f>IFERROR(IF(R266="",W265,IF(R266="ATTENTION",W265-S266,IF(S266&gt;R266,W265-T266,W265+T266))),"")</f>
        <v>25569.1875</v>
      </c>
    </row>
    <row x14ac:dyDescent="0.25" r="267" customHeight="1" ht="17.25">
      <c r="A267" s="21"/>
      <c r="B267" s="24"/>
      <c r="C267" s="35"/>
      <c r="D267" s="35"/>
      <c r="E267" s="37"/>
      <c r="F267" s="37"/>
      <c r="G267" s="21"/>
      <c r="H267" s="21"/>
      <c r="I267" s="21"/>
      <c r="J267" s="43">
        <f>IFERROR(DATE((LEFT(B267,4)),MID(B267,5,2),RIGHT(B267,2)),"")</f>
        <v>25569.1875</v>
      </c>
      <c r="K267" s="21"/>
      <c r="L267" s="49">
        <f>IF(A267="Total Hours","",IF(J267="",L266,J267))</f>
        <v>25569.1875</v>
      </c>
      <c r="M267" s="50">
        <f>A267</f>
      </c>
      <c r="N267" s="17">
        <f>IF(C267="",IF(U267="",C267,""),C267)</f>
        <v>25569.1875</v>
      </c>
      <c r="O267" s="17">
        <f>IF(D267="",IF(U267="",D267,""),D267)</f>
        <v>25569.1875</v>
      </c>
      <c r="P267" s="17">
        <f>IFERROR(IF(N267&gt;O267,G267,O267-N267),"")</f>
        <v>25569.1875</v>
      </c>
      <c r="Q267" s="17">
        <f>IF(U267="",TIME(0,30,0),"")</f>
        <v>25569.1875</v>
      </c>
      <c r="R267" s="17">
        <f>IFERROR(IF(OR(IFERROR((P267-Q267)&lt;0,""),P267="Missing OUT"),"ATTENTION",P267-Q267),"")</f>
        <v>25569.1875</v>
      </c>
      <c r="S267" s="17">
        <f>TIME(8,0,0)</f>
        <v>25569.1875</v>
      </c>
      <c r="T267" s="17">
        <f>IFERROR(IF(R267="ATTENTION",TIME(8,0,0),IF(S267&gt;R267,S267-R267,R267-S267)),"")</f>
        <v>25569.1875</v>
      </c>
      <c r="U267" s="18">
        <f>IFERROR(VLOOKUP(L267,Calendar!$A$2:$C$261,3,0),"")</f>
      </c>
      <c r="V267" s="19">
        <f>IF(AND(LEN(C267)&gt;0,LEN(D267)=0),"NO CHECK-OUT","")</f>
      </c>
      <c r="W267" s="20">
        <f>IFERROR(IF(R267="",W266,IF(R267="ATTENTION",W266-S267,IF(S267&gt;R267,W266-T267,W266+T267))),"")</f>
        <v>25569.1875</v>
      </c>
    </row>
    <row x14ac:dyDescent="0.25" r="268" customHeight="1" ht="17.25">
      <c r="A268" s="21"/>
      <c r="B268" s="24"/>
      <c r="C268" s="35"/>
      <c r="D268" s="35"/>
      <c r="E268" s="37"/>
      <c r="F268" s="37"/>
      <c r="G268" s="21"/>
      <c r="H268" s="21"/>
      <c r="I268" s="21"/>
      <c r="J268" s="43">
        <f>IFERROR(DATE((LEFT(B268,4)),MID(B268,5,2),RIGHT(B268,2)),"")</f>
        <v>25569.1875</v>
      </c>
      <c r="K268" s="21"/>
      <c r="L268" s="49">
        <f>IF(A268="Total Hours","",IF(J268="",L267,J268))</f>
        <v>25569.1875</v>
      </c>
      <c r="M268" s="50">
        <f>A268</f>
      </c>
      <c r="N268" s="17">
        <f>IF(C268="",IF(U268="",C268,""),C268)</f>
        <v>25569.1875</v>
      </c>
      <c r="O268" s="17">
        <f>IF(D268="",IF(U268="",D268,""),D268)</f>
        <v>25569.1875</v>
      </c>
      <c r="P268" s="17">
        <f>IFERROR(IF(N268&gt;O268,G268,O268-N268),"")</f>
        <v>25569.1875</v>
      </c>
      <c r="Q268" s="17">
        <f>IF(U268="",TIME(0,30,0),"")</f>
        <v>25569.1875</v>
      </c>
      <c r="R268" s="17">
        <f>IFERROR(IF(OR(IFERROR((P268-Q268)&lt;0,""),P268="Missing OUT"),"ATTENTION",P268-Q268),"")</f>
        <v>25569.1875</v>
      </c>
      <c r="S268" s="17">
        <f>TIME(8,0,0)</f>
        <v>25569.1875</v>
      </c>
      <c r="T268" s="17">
        <f>IFERROR(IF(R268="ATTENTION",TIME(8,0,0),IF(S268&gt;R268,S268-R268,R268-S268)),"")</f>
        <v>25569.1875</v>
      </c>
      <c r="U268" s="18">
        <f>IFERROR(VLOOKUP(L268,Calendar!$A$2:$C$261,3,0),"")</f>
      </c>
      <c r="V268" s="19">
        <f>IF(AND(LEN(C268)&gt;0,LEN(D268)=0),"NO CHECK-OUT","")</f>
      </c>
      <c r="W268" s="20">
        <f>IFERROR(IF(R268="",W267,IF(R268="ATTENTION",W267-S268,IF(S268&gt;R268,W267-T268,W267+T268))),"")</f>
        <v>25569.1875</v>
      </c>
    </row>
    <row x14ac:dyDescent="0.25" r="269" customHeight="1" ht="17.25">
      <c r="A269" s="21"/>
      <c r="B269" s="24"/>
      <c r="C269" s="35"/>
      <c r="D269" s="35"/>
      <c r="E269" s="37"/>
      <c r="F269" s="37"/>
      <c r="G269" s="21"/>
      <c r="H269" s="21"/>
      <c r="I269" s="21"/>
      <c r="J269" s="43">
        <f>IFERROR(DATE((LEFT(B269,4)),MID(B269,5,2),RIGHT(B269,2)),"")</f>
        <v>25569.1875</v>
      </c>
      <c r="K269" s="21"/>
      <c r="L269" s="49">
        <f>IF(A269="Total Hours","",IF(J269="",L268,J269))</f>
        <v>25569.1875</v>
      </c>
      <c r="M269" s="50">
        <f>A269</f>
      </c>
      <c r="N269" s="17">
        <f>IF(C269="",IF(U269="",C269,""),C269)</f>
        <v>25569.1875</v>
      </c>
      <c r="O269" s="17">
        <f>IF(D269="",IF(U269="",D269,""),D269)</f>
        <v>25569.1875</v>
      </c>
      <c r="P269" s="17">
        <f>IFERROR(IF(N269&gt;O269,G269,O269-N269),"")</f>
        <v>25569.1875</v>
      </c>
      <c r="Q269" s="17">
        <f>IF(U269="",TIME(0,30,0),"")</f>
        <v>25569.1875</v>
      </c>
      <c r="R269" s="17">
        <f>IFERROR(IF(OR(IFERROR((P269-Q269)&lt;0,""),P269="Missing OUT"),"ATTENTION",P269-Q269),"")</f>
        <v>25569.1875</v>
      </c>
      <c r="S269" s="17">
        <f>TIME(8,0,0)</f>
        <v>25569.1875</v>
      </c>
      <c r="T269" s="17">
        <f>IFERROR(IF(R269="ATTENTION",TIME(8,0,0),IF(S269&gt;R269,S269-R269,R269-S269)),"")</f>
        <v>25569.1875</v>
      </c>
      <c r="U269" s="18">
        <f>IFERROR(VLOOKUP(L269,Calendar!$A$2:$C$261,3,0),"")</f>
      </c>
      <c r="V269" s="19">
        <f>IF(AND(LEN(C269)&gt;0,LEN(D269)=0),"NO CHECK-OUT","")</f>
      </c>
      <c r="W269" s="20">
        <f>IFERROR(IF(R269="",W268,IF(R269="ATTENTION",W268-S269,IF(S269&gt;R269,W268-T269,W268+T269))),"")</f>
        <v>25569.1875</v>
      </c>
    </row>
    <row x14ac:dyDescent="0.25" r="270" customHeight="1" ht="17.25">
      <c r="A270" s="21"/>
      <c r="B270" s="24"/>
      <c r="C270" s="35"/>
      <c r="D270" s="35"/>
      <c r="E270" s="37"/>
      <c r="F270" s="37"/>
      <c r="G270" s="21"/>
      <c r="H270" s="21"/>
      <c r="I270" s="21"/>
      <c r="J270" s="43">
        <f>IFERROR(DATE((LEFT(B270,4)),MID(B270,5,2),RIGHT(B270,2)),"")</f>
        <v>25569.1875</v>
      </c>
      <c r="K270" s="21"/>
      <c r="L270" s="49">
        <f>IF(A270="Total Hours","",IF(J270="",L269,J270))</f>
        <v>25569.1875</v>
      </c>
      <c r="M270" s="50">
        <f>A270</f>
      </c>
      <c r="N270" s="17">
        <f>IF(C270="",IF(U270="",C270,""),C270)</f>
        <v>25569.1875</v>
      </c>
      <c r="O270" s="17">
        <f>IF(D270="",IF(U270="",D270,""),D270)</f>
        <v>25569.1875</v>
      </c>
      <c r="P270" s="17">
        <f>IFERROR(IF(N270&gt;O270,G270,O270-N270),"")</f>
        <v>25569.1875</v>
      </c>
      <c r="Q270" s="17">
        <f>IF(U270="",TIME(0,30,0),"")</f>
        <v>25569.1875</v>
      </c>
      <c r="R270" s="17">
        <f>IFERROR(IF(OR(IFERROR((P270-Q270)&lt;0,""),P270="Missing OUT"),"ATTENTION",P270-Q270),"")</f>
        <v>25569.1875</v>
      </c>
      <c r="S270" s="17">
        <f>TIME(8,0,0)</f>
        <v>25569.1875</v>
      </c>
      <c r="T270" s="17">
        <f>IFERROR(IF(R270="ATTENTION",TIME(8,0,0),IF(S270&gt;R270,S270-R270,R270-S270)),"")</f>
        <v>25569.1875</v>
      </c>
      <c r="U270" s="18">
        <f>IFERROR(VLOOKUP(L270,Calendar!$A$2:$C$261,3,0),"")</f>
      </c>
      <c r="V270" s="19">
        <f>IF(AND(LEN(C270)&gt;0,LEN(D270)=0),"NO CHECK-OUT","")</f>
      </c>
      <c r="W270" s="20">
        <f>IFERROR(IF(R270="",W269,IF(R270="ATTENTION",W269-S270,IF(S270&gt;R270,W269-T270,W269+T270))),"")</f>
        <v>25569.1875</v>
      </c>
    </row>
    <row x14ac:dyDescent="0.25" r="271" customHeight="1" ht="17.25">
      <c r="A271" s="21"/>
      <c r="B271" s="24"/>
      <c r="C271" s="35"/>
      <c r="D271" s="35"/>
      <c r="E271" s="37"/>
      <c r="F271" s="37"/>
      <c r="G271" s="21"/>
      <c r="H271" s="21"/>
      <c r="I271" s="21"/>
      <c r="J271" s="43">
        <f>IFERROR(DATE((LEFT(B271,4)),MID(B271,5,2),RIGHT(B271,2)),"")</f>
        <v>25569.1875</v>
      </c>
      <c r="K271" s="21"/>
      <c r="L271" s="49">
        <f>IF(A271="Total Hours","",IF(J271="",L270,J271))</f>
        <v>25569.1875</v>
      </c>
      <c r="M271" s="50">
        <f>A271</f>
      </c>
      <c r="N271" s="17">
        <f>IF(C271="",IF(U271="",C271,""),C271)</f>
        <v>25569.1875</v>
      </c>
      <c r="O271" s="17">
        <f>IF(D271="",IF(U271="",D271,""),D271)</f>
        <v>25569.1875</v>
      </c>
      <c r="P271" s="17">
        <f>IFERROR(IF(N271&gt;O271,G271,O271-N271),"")</f>
        <v>25569.1875</v>
      </c>
      <c r="Q271" s="17">
        <f>IF(U271="",TIME(0,30,0),"")</f>
        <v>25569.1875</v>
      </c>
      <c r="R271" s="17">
        <f>IFERROR(IF(OR(IFERROR((P271-Q271)&lt;0,""),P271="Missing OUT"),"ATTENTION",P271-Q271),"")</f>
        <v>25569.1875</v>
      </c>
      <c r="S271" s="17">
        <f>TIME(8,0,0)</f>
        <v>25569.1875</v>
      </c>
      <c r="T271" s="17">
        <f>IFERROR(IF(R271="ATTENTION",TIME(8,0,0),IF(S271&gt;R271,S271-R271,R271-S271)),"")</f>
        <v>25569.1875</v>
      </c>
      <c r="U271" s="18">
        <f>IFERROR(VLOOKUP(L271,Calendar!$A$2:$C$261,3,0),"")</f>
      </c>
      <c r="V271" s="19">
        <f>IF(AND(LEN(C271)&gt;0,LEN(D271)=0),"NO CHECK-OUT","")</f>
      </c>
      <c r="W271" s="20">
        <f>IFERROR(IF(R271="",W270,IF(R271="ATTENTION",W270-S271,IF(S271&gt;R271,W270-T271,W270+T271))),"")</f>
        <v>25569.1875</v>
      </c>
    </row>
    <row x14ac:dyDescent="0.25" r="272" customHeight="1" ht="17.25">
      <c r="A272" s="21"/>
      <c r="B272" s="24"/>
      <c r="C272" s="35"/>
      <c r="D272" s="35"/>
      <c r="E272" s="37"/>
      <c r="F272" s="37"/>
      <c r="G272" s="21"/>
      <c r="H272" s="21"/>
      <c r="I272" s="21"/>
      <c r="J272" s="43">
        <f>IFERROR(DATE((LEFT(B272,4)),MID(B272,5,2),RIGHT(B272,2)),"")</f>
        <v>25569.1875</v>
      </c>
      <c r="K272" s="21"/>
      <c r="L272" s="49">
        <f>IF(A272="Total Hours","",IF(J272="",L271,J272))</f>
        <v>25569.1875</v>
      </c>
      <c r="M272" s="50">
        <f>A272</f>
      </c>
      <c r="N272" s="17">
        <f>IF(C272="",IF(U272="",C272,""),C272)</f>
        <v>25569.1875</v>
      </c>
      <c r="O272" s="17">
        <f>IF(D272="",IF(U272="",D272,""),D272)</f>
        <v>25569.1875</v>
      </c>
      <c r="P272" s="17">
        <f>IFERROR(IF(N272&gt;O272,G272,O272-N272),"")</f>
        <v>25569.1875</v>
      </c>
      <c r="Q272" s="17">
        <f>IF(U272="",TIME(0,30,0),"")</f>
        <v>25569.1875</v>
      </c>
      <c r="R272" s="17">
        <f>IFERROR(IF(OR(IFERROR((P272-Q272)&lt;0,""),P272="Missing OUT"),"ATTENTION",P272-Q272),"")</f>
        <v>25569.1875</v>
      </c>
      <c r="S272" s="17">
        <f>TIME(8,0,0)</f>
        <v>25569.1875</v>
      </c>
      <c r="T272" s="17">
        <f>IFERROR(IF(R272="ATTENTION",TIME(8,0,0),IF(S272&gt;R272,S272-R272,R272-S272)),"")</f>
        <v>25569.1875</v>
      </c>
      <c r="U272" s="18">
        <f>IFERROR(VLOOKUP(L272,Calendar!$A$2:$C$261,3,0),"")</f>
      </c>
      <c r="V272" s="19">
        <f>IF(AND(LEN(C272)&gt;0,LEN(D272)=0),"NO CHECK-OUT","")</f>
      </c>
      <c r="W272" s="20">
        <f>IFERROR(IF(R272="",W271,IF(R272="ATTENTION",W271-S272,IF(S272&gt;R272,W271-T272,W271+T272))),"")</f>
        <v>25569.1875</v>
      </c>
    </row>
    <row x14ac:dyDescent="0.25" r="273" customHeight="1" ht="17.25">
      <c r="A273" s="21"/>
      <c r="B273" s="24"/>
      <c r="C273" s="35"/>
      <c r="D273" s="35"/>
      <c r="E273" s="37"/>
      <c r="F273" s="37"/>
      <c r="G273" s="21"/>
      <c r="H273" s="21"/>
      <c r="I273" s="21"/>
      <c r="J273" s="43">
        <f>IFERROR(DATE((LEFT(B273,4)),MID(B273,5,2),RIGHT(B273,2)),"")</f>
        <v>25569.1875</v>
      </c>
      <c r="K273" s="21"/>
      <c r="L273" s="49">
        <f>IF(A273="Total Hours","",IF(J273="",L272,J273))</f>
        <v>25569.1875</v>
      </c>
      <c r="M273" s="50">
        <f>A273</f>
      </c>
      <c r="N273" s="17">
        <f>IF(C273="",IF(U273="",C273,""),C273)</f>
        <v>25569.1875</v>
      </c>
      <c r="O273" s="17">
        <f>IF(D273="",IF(U273="",D273,""),D273)</f>
        <v>25569.1875</v>
      </c>
      <c r="P273" s="17">
        <f>IFERROR(IF(N273&gt;O273,G273,O273-N273),"")</f>
        <v>25569.1875</v>
      </c>
      <c r="Q273" s="17">
        <f>IF(U273="",TIME(0,30,0),"")</f>
        <v>25569.1875</v>
      </c>
      <c r="R273" s="17">
        <f>IFERROR(IF(OR(IFERROR((P273-Q273)&lt;0,""),P273="Missing OUT"),"ATTENTION",P273-Q273),"")</f>
        <v>25569.1875</v>
      </c>
      <c r="S273" s="17">
        <f>TIME(8,0,0)</f>
        <v>25569.1875</v>
      </c>
      <c r="T273" s="17">
        <f>IFERROR(IF(R273="ATTENTION",TIME(8,0,0),IF(S273&gt;R273,S273-R273,R273-S273)),"")</f>
        <v>25569.1875</v>
      </c>
      <c r="U273" s="18">
        <f>IFERROR(VLOOKUP(L273,Calendar!$A$2:$C$261,3,0),"")</f>
      </c>
      <c r="V273" s="19">
        <f>IF(AND(LEN(C273)&gt;0,LEN(D273)=0),"NO CHECK-OUT","")</f>
      </c>
      <c r="W273" s="20">
        <f>IFERROR(IF(R273="",W272,IF(R273="ATTENTION",W272-S273,IF(S273&gt;R273,W272-T273,W272+T273))),"")</f>
        <v>25569.1875</v>
      </c>
    </row>
    <row x14ac:dyDescent="0.25" r="274" customHeight="1" ht="17.25">
      <c r="A274" s="21"/>
      <c r="B274" s="24"/>
      <c r="C274" s="35"/>
      <c r="D274" s="35"/>
      <c r="E274" s="37"/>
      <c r="F274" s="37"/>
      <c r="G274" s="21"/>
      <c r="H274" s="21"/>
      <c r="I274" s="21"/>
      <c r="J274" s="43">
        <f>IFERROR(DATE((LEFT(B274,4)),MID(B274,5,2),RIGHT(B274,2)),"")</f>
        <v>25569.1875</v>
      </c>
      <c r="K274" s="21"/>
      <c r="L274" s="49">
        <f>IF(A274="Total Hours","",IF(J274="",L273,J274))</f>
        <v>25569.1875</v>
      </c>
      <c r="M274" s="50">
        <f>A274</f>
      </c>
      <c r="N274" s="17">
        <f>IF(C274="",IF(U274="",C274,""),C274)</f>
        <v>25569.1875</v>
      </c>
      <c r="O274" s="17">
        <f>IF(D274="",IF(U274="",D274,""),D274)</f>
        <v>25569.1875</v>
      </c>
      <c r="P274" s="17">
        <f>IFERROR(IF(N274&gt;O274,G274,O274-N274),"")</f>
        <v>25569.1875</v>
      </c>
      <c r="Q274" s="17">
        <f>IF(U274="",TIME(0,30,0),"")</f>
        <v>25569.1875</v>
      </c>
      <c r="R274" s="17">
        <f>IFERROR(IF(OR(IFERROR((P274-Q274)&lt;0,""),P274="Missing OUT"),"ATTENTION",P274-Q274),"")</f>
        <v>25569.1875</v>
      </c>
      <c r="S274" s="17">
        <f>TIME(8,0,0)</f>
        <v>25569.1875</v>
      </c>
      <c r="T274" s="17">
        <f>IFERROR(IF(R274="ATTENTION",TIME(8,0,0),IF(S274&gt;R274,S274-R274,R274-S274)),"")</f>
        <v>25569.1875</v>
      </c>
      <c r="U274" s="18">
        <f>IFERROR(VLOOKUP(L274,Calendar!$A$2:$C$261,3,0),"")</f>
      </c>
      <c r="V274" s="19">
        <f>IF(AND(LEN(C274)&gt;0,LEN(D274)=0),"NO CHECK-OUT","")</f>
      </c>
      <c r="W274" s="20">
        <f>IFERROR(IF(R274="",W273,IF(R274="ATTENTION",W273-S274,IF(S274&gt;R274,W273-T274,W273+T274))),"")</f>
        <v>25569.1875</v>
      </c>
    </row>
    <row x14ac:dyDescent="0.25" r="275" customHeight="1" ht="17.25">
      <c r="A275" s="21"/>
      <c r="B275" s="24"/>
      <c r="C275" s="35"/>
      <c r="D275" s="35"/>
      <c r="E275" s="37"/>
      <c r="F275" s="37"/>
      <c r="G275" s="21"/>
      <c r="H275" s="21"/>
      <c r="I275" s="21"/>
      <c r="J275" s="43">
        <f>IFERROR(DATE((LEFT(B275,4)),MID(B275,5,2),RIGHT(B275,2)),"")</f>
        <v>25569.1875</v>
      </c>
      <c r="K275" s="21"/>
      <c r="L275" s="49">
        <f>IF(A275="Total Hours","",IF(J275="",L274,J275))</f>
        <v>25569.1875</v>
      </c>
      <c r="M275" s="50">
        <f>A275</f>
      </c>
      <c r="N275" s="17">
        <f>IF(C275="",IF(U275="",C275,""),C275)</f>
        <v>25569.1875</v>
      </c>
      <c r="O275" s="17">
        <f>IF(D275="",IF(U275="",D275,""),D275)</f>
        <v>25569.1875</v>
      </c>
      <c r="P275" s="17">
        <f>IFERROR(IF(N275&gt;O275,G275,O275-N275),"")</f>
        <v>25569.1875</v>
      </c>
      <c r="Q275" s="17">
        <f>IF(U275="",TIME(0,30,0),"")</f>
        <v>25569.1875</v>
      </c>
      <c r="R275" s="17">
        <f>IFERROR(IF(OR(IFERROR((P275-Q275)&lt;0,""),P275="Missing OUT"),"ATTENTION",P275-Q275),"")</f>
        <v>25569.1875</v>
      </c>
      <c r="S275" s="17">
        <f>TIME(8,0,0)</f>
        <v>25569.1875</v>
      </c>
      <c r="T275" s="17">
        <f>IFERROR(IF(R275="ATTENTION",TIME(8,0,0),IF(S275&gt;R275,S275-R275,R275-S275)),"")</f>
        <v>25569.1875</v>
      </c>
      <c r="U275" s="18">
        <f>IFERROR(VLOOKUP(L275,Calendar!$A$2:$C$261,3,0),"")</f>
      </c>
      <c r="V275" s="19">
        <f>IF(AND(LEN(C275)&gt;0,LEN(D275)=0),"NO CHECK-OUT","")</f>
      </c>
      <c r="W275" s="20">
        <f>IFERROR(IF(R275="",W274,IF(R275="ATTENTION",W274-S275,IF(S275&gt;R275,W274-T275,W274+T275))),"")</f>
        <v>25569.1875</v>
      </c>
    </row>
    <row x14ac:dyDescent="0.25" r="276" customHeight="1" ht="17.25">
      <c r="A276" s="21"/>
      <c r="B276" s="24"/>
      <c r="C276" s="35"/>
      <c r="D276" s="35"/>
      <c r="E276" s="37"/>
      <c r="F276" s="37"/>
      <c r="G276" s="21"/>
      <c r="H276" s="21"/>
      <c r="I276" s="21"/>
      <c r="J276" s="43">
        <f>IFERROR(DATE((LEFT(B276,4)),MID(B276,5,2),RIGHT(B276,2)),"")</f>
        <v>25569.1875</v>
      </c>
      <c r="K276" s="21"/>
      <c r="L276" s="49">
        <f>IF(A276="Total Hours","",IF(J276="",L275,J276))</f>
        <v>25569.1875</v>
      </c>
      <c r="M276" s="50">
        <f>A276</f>
      </c>
      <c r="N276" s="17">
        <f>IF(C276="",IF(U276="",C276,""),C276)</f>
        <v>25569.1875</v>
      </c>
      <c r="O276" s="17">
        <f>IF(D276="",IF(U276="",D276,""),D276)</f>
        <v>25569.1875</v>
      </c>
      <c r="P276" s="17">
        <f>IFERROR(IF(N276&gt;O276,G276,O276-N276),"")</f>
        <v>25569.1875</v>
      </c>
      <c r="Q276" s="17">
        <f>IF(U276="",TIME(0,30,0),"")</f>
        <v>25569.1875</v>
      </c>
      <c r="R276" s="17">
        <f>IFERROR(IF(OR(IFERROR((P276-Q276)&lt;0,""),P276="Missing OUT"),"ATTENTION",P276-Q276),"")</f>
        <v>25569.1875</v>
      </c>
      <c r="S276" s="17">
        <f>TIME(8,0,0)</f>
        <v>25569.1875</v>
      </c>
      <c r="T276" s="17">
        <f>IFERROR(IF(R276="ATTENTION",TIME(8,0,0),IF(S276&gt;R276,S276-R276,R276-S276)),"")</f>
        <v>25569.1875</v>
      </c>
      <c r="U276" s="18">
        <f>IFERROR(VLOOKUP(L276,Calendar!$A$2:$C$261,3,0),"")</f>
      </c>
      <c r="V276" s="19">
        <f>IF(AND(LEN(C276)&gt;0,LEN(D276)=0),"NO CHECK-OUT","")</f>
      </c>
      <c r="W276" s="20">
        <f>IFERROR(IF(R276="",W275,IF(R276="ATTENTION",W275-S276,IF(S276&gt;R276,W275-T276,W275+T276))),"")</f>
        <v>25569.1875</v>
      </c>
    </row>
    <row x14ac:dyDescent="0.25" r="277" customHeight="1" ht="17.25">
      <c r="A277" s="21"/>
      <c r="B277" s="24"/>
      <c r="C277" s="35"/>
      <c r="D277" s="35"/>
      <c r="E277" s="37"/>
      <c r="F277" s="37"/>
      <c r="G277" s="21"/>
      <c r="H277" s="21"/>
      <c r="I277" s="21"/>
      <c r="J277" s="43">
        <f>IFERROR(DATE((LEFT(B277,4)),MID(B277,5,2),RIGHT(B277,2)),"")</f>
        <v>25569.1875</v>
      </c>
      <c r="K277" s="21"/>
      <c r="L277" s="49">
        <f>IF(A277="Total Hours","",IF(J277="",L276,J277))</f>
        <v>25569.1875</v>
      </c>
      <c r="M277" s="50">
        <f>A277</f>
      </c>
      <c r="N277" s="17">
        <f>IF(C277="",IF(U277="",C277,""),C277)</f>
        <v>25569.1875</v>
      </c>
      <c r="O277" s="17">
        <f>IF(D277="",IF(U277="",D277,""),D277)</f>
        <v>25569.1875</v>
      </c>
      <c r="P277" s="17">
        <f>IFERROR(IF(N277&gt;O277,G277,O277-N277),"")</f>
        <v>25569.1875</v>
      </c>
      <c r="Q277" s="17">
        <f>IF(U277="",TIME(0,30,0),"")</f>
        <v>25569.1875</v>
      </c>
      <c r="R277" s="17">
        <f>IFERROR(IF(OR(IFERROR((P277-Q277)&lt;0,""),P277="Missing OUT"),"ATTENTION",P277-Q277),"")</f>
        <v>25569.1875</v>
      </c>
      <c r="S277" s="17">
        <f>TIME(8,0,0)</f>
        <v>25569.1875</v>
      </c>
      <c r="T277" s="17">
        <f>IFERROR(IF(R277="ATTENTION",TIME(8,0,0),IF(S277&gt;R277,S277-R277,R277-S277)),"")</f>
        <v>25569.1875</v>
      </c>
      <c r="U277" s="18">
        <f>IFERROR(VLOOKUP(L277,Calendar!$A$2:$C$261,3,0),"")</f>
      </c>
      <c r="V277" s="19">
        <f>IF(AND(LEN(C277)&gt;0,LEN(D277)=0),"NO CHECK-OUT","")</f>
      </c>
      <c r="W277" s="20">
        <f>IFERROR(IF(R277="",W276,IF(R277="ATTENTION",W276-S277,IF(S277&gt;R277,W276-T277,W276+T277))),"")</f>
        <v>25569.1875</v>
      </c>
    </row>
    <row x14ac:dyDescent="0.25" r="278" customHeight="1" ht="17.25">
      <c r="A278" s="21"/>
      <c r="B278" s="24"/>
      <c r="C278" s="35"/>
      <c r="D278" s="35"/>
      <c r="E278" s="37"/>
      <c r="F278" s="37"/>
      <c r="G278" s="21"/>
      <c r="H278" s="21"/>
      <c r="I278" s="21"/>
      <c r="J278" s="43">
        <f>IFERROR(DATE((LEFT(B278,4)),MID(B278,5,2),RIGHT(B278,2)),"")</f>
        <v>25569.1875</v>
      </c>
      <c r="K278" s="21"/>
      <c r="L278" s="49">
        <f>IF(A278="Total Hours","",IF(J278="",L277,J278))</f>
        <v>25569.1875</v>
      </c>
      <c r="M278" s="50">
        <f>A278</f>
      </c>
      <c r="N278" s="17">
        <f>IF(C278="",IF(U278="",C278,""),C278)</f>
        <v>25569.1875</v>
      </c>
      <c r="O278" s="17">
        <f>IF(D278="",IF(U278="",D278,""),D278)</f>
        <v>25569.1875</v>
      </c>
      <c r="P278" s="17">
        <f>IFERROR(IF(N278&gt;O278,G278,O278-N278),"")</f>
        <v>25569.1875</v>
      </c>
      <c r="Q278" s="17">
        <f>IF(U278="",TIME(0,30,0),"")</f>
        <v>25569.1875</v>
      </c>
      <c r="R278" s="17">
        <f>IFERROR(IF(OR(IFERROR((P278-Q278)&lt;0,""),P278="Missing OUT"),"ATTENTION",P278-Q278),"")</f>
        <v>25569.1875</v>
      </c>
      <c r="S278" s="17">
        <f>TIME(8,0,0)</f>
        <v>25569.1875</v>
      </c>
      <c r="T278" s="17">
        <f>IFERROR(IF(R278="ATTENTION",TIME(8,0,0),IF(S278&gt;R278,S278-R278,R278-S278)),"")</f>
        <v>25569.1875</v>
      </c>
      <c r="U278" s="18">
        <f>IFERROR(VLOOKUP(L278,Calendar!$A$2:$C$261,3,0),"")</f>
      </c>
      <c r="V278" s="19">
        <f>IF(AND(LEN(C278)&gt;0,LEN(D278)=0),"NO CHECK-OUT","")</f>
      </c>
      <c r="W278" s="20">
        <f>IFERROR(IF(R278="",W277,IF(R278="ATTENTION",W277-S278,IF(S278&gt;R278,W277-T278,W277+T278))),"")</f>
        <v>25569.1875</v>
      </c>
    </row>
    <row x14ac:dyDescent="0.25" r="279" customHeight="1" ht="17.25">
      <c r="A279" s="21"/>
      <c r="B279" s="24"/>
      <c r="C279" s="35"/>
      <c r="D279" s="35"/>
      <c r="E279" s="37"/>
      <c r="F279" s="37"/>
      <c r="G279" s="21"/>
      <c r="H279" s="21"/>
      <c r="I279" s="21"/>
      <c r="J279" s="43">
        <f>IFERROR(DATE((LEFT(B279,4)),MID(B279,5,2),RIGHT(B279,2)),"")</f>
        <v>25569.1875</v>
      </c>
      <c r="K279" s="21"/>
      <c r="L279" s="49">
        <f>IF(A279="Total Hours","",IF(J279="",L278,J279))</f>
        <v>25569.1875</v>
      </c>
      <c r="M279" s="50">
        <f>A279</f>
      </c>
      <c r="N279" s="17">
        <f>IF(C279="",IF(U279="",C279,""),C279)</f>
        <v>25569.1875</v>
      </c>
      <c r="O279" s="17">
        <f>IF(D279="",IF(U279="",D279,""),D279)</f>
        <v>25569.1875</v>
      </c>
      <c r="P279" s="17">
        <f>IFERROR(IF(N279&gt;O279,G279,O279-N279),"")</f>
        <v>25569.1875</v>
      </c>
      <c r="Q279" s="17">
        <f>IF(U279="",TIME(0,30,0),"")</f>
        <v>25569.1875</v>
      </c>
      <c r="R279" s="17">
        <f>IFERROR(IF(OR(IFERROR((P279-Q279)&lt;0,""),P279="Missing OUT"),"ATTENTION",P279-Q279),"")</f>
        <v>25569.1875</v>
      </c>
      <c r="S279" s="17">
        <f>TIME(8,0,0)</f>
        <v>25569.1875</v>
      </c>
      <c r="T279" s="17">
        <f>IFERROR(IF(R279="ATTENTION",TIME(8,0,0),IF(S279&gt;R279,S279-R279,R279-S279)),"")</f>
        <v>25569.1875</v>
      </c>
      <c r="U279" s="18">
        <f>IFERROR(VLOOKUP(L279,Calendar!$A$2:$C$261,3,0),"")</f>
      </c>
      <c r="V279" s="19">
        <f>IF(AND(LEN(C279)&gt;0,LEN(D279)=0),"NO CHECK-OUT","")</f>
      </c>
      <c r="W279" s="20">
        <f>IFERROR(IF(R279="",W278,IF(R279="ATTENTION",W278-S279,IF(S279&gt;R279,W278-T279,W278+T279))),"")</f>
        <v>25569.1875</v>
      </c>
    </row>
    <row x14ac:dyDescent="0.25" r="280" customHeight="1" ht="17.25">
      <c r="A280" s="21"/>
      <c r="B280" s="24"/>
      <c r="C280" s="35"/>
      <c r="D280" s="35"/>
      <c r="E280" s="37"/>
      <c r="F280" s="37"/>
      <c r="G280" s="21"/>
      <c r="H280" s="21"/>
      <c r="I280" s="21"/>
      <c r="J280" s="43">
        <f>IFERROR(DATE((LEFT(B280,4)),MID(B280,5,2),RIGHT(B280,2)),"")</f>
        <v>25569.1875</v>
      </c>
      <c r="K280" s="21"/>
      <c r="L280" s="49">
        <f>IF(A280="Total Hours","",IF(J280="",L279,J280))</f>
        <v>25569.1875</v>
      </c>
      <c r="M280" s="50">
        <f>A280</f>
      </c>
      <c r="N280" s="17">
        <f>IF(C280="",IF(U280="",C280,""),C280)</f>
        <v>25569.1875</v>
      </c>
      <c r="O280" s="17">
        <f>IF(D280="",IF(U280="",D280,""),D280)</f>
        <v>25569.1875</v>
      </c>
      <c r="P280" s="17">
        <f>IFERROR(IF(N280&gt;O280,G280,O280-N280),"")</f>
        <v>25569.1875</v>
      </c>
      <c r="Q280" s="17">
        <f>IF(U280="",TIME(0,30,0),"")</f>
        <v>25569.1875</v>
      </c>
      <c r="R280" s="17">
        <f>IFERROR(IF(OR(IFERROR((P280-Q280)&lt;0,""),P280="Missing OUT"),"ATTENTION",P280-Q280),"")</f>
        <v>25569.1875</v>
      </c>
      <c r="S280" s="17">
        <f>TIME(8,0,0)</f>
        <v>25569.1875</v>
      </c>
      <c r="T280" s="17">
        <f>IFERROR(IF(R280="ATTENTION",TIME(8,0,0),IF(S280&gt;R280,S280-R280,R280-S280)),"")</f>
        <v>25569.1875</v>
      </c>
      <c r="U280" s="18">
        <f>IFERROR(VLOOKUP(L280,Calendar!$A$2:$C$261,3,0),"")</f>
      </c>
      <c r="V280" s="19">
        <f>IF(AND(LEN(C280)&gt;0,LEN(D280)=0),"NO CHECK-OUT","")</f>
      </c>
      <c r="W280" s="20">
        <f>IFERROR(IF(R280="",W279,IF(R280="ATTENTION",W279-S280,IF(S280&gt;R280,W279-T280,W279+T280))),"")</f>
        <v>25569.1875</v>
      </c>
    </row>
    <row x14ac:dyDescent="0.25" r="281" customHeight="1" ht="17.25">
      <c r="A281" s="21"/>
      <c r="B281" s="24"/>
      <c r="C281" s="35"/>
      <c r="D281" s="35"/>
      <c r="E281" s="37"/>
      <c r="F281" s="37"/>
      <c r="G281" s="21"/>
      <c r="H281" s="21"/>
      <c r="I281" s="21"/>
      <c r="J281" s="30"/>
      <c r="K281" s="21"/>
      <c r="L281" s="49"/>
      <c r="M281" s="18"/>
      <c r="N281" s="20"/>
      <c r="O281" s="20"/>
      <c r="P281" s="20"/>
      <c r="Q281" s="20"/>
      <c r="R281" s="20"/>
      <c r="S281" s="20"/>
      <c r="T281" s="20"/>
      <c r="U281" s="18"/>
      <c r="V281" s="51"/>
      <c r="W281" s="20"/>
    </row>
    <row x14ac:dyDescent="0.25" r="282" customHeight="1" ht="17.25">
      <c r="A282" s="21"/>
      <c r="B282" s="24"/>
      <c r="C282" s="35"/>
      <c r="D282" s="35"/>
      <c r="E282" s="37"/>
      <c r="F282" s="37"/>
      <c r="G282" s="21"/>
      <c r="H282" s="21"/>
      <c r="I282" s="21"/>
      <c r="J282" s="30"/>
      <c r="K282" s="21"/>
      <c r="L282" s="55"/>
      <c r="M282" s="18"/>
      <c r="N282" s="20"/>
      <c r="O282" s="20"/>
      <c r="P282" s="20"/>
      <c r="Q282" s="20"/>
      <c r="R282" s="20"/>
      <c r="S282" s="20"/>
      <c r="T282" s="20"/>
      <c r="U282" s="18"/>
      <c r="V282" s="51"/>
      <c r="W282" s="20"/>
    </row>
    <row x14ac:dyDescent="0.25" r="283" customHeight="1" ht="17.25">
      <c r="A283" s="21"/>
      <c r="B283" s="24"/>
      <c r="C283" s="35"/>
      <c r="D283" s="35"/>
      <c r="E283" s="37"/>
      <c r="F283" s="37"/>
      <c r="G283" s="21"/>
      <c r="H283" s="21"/>
      <c r="I283" s="21"/>
      <c r="J283" s="30"/>
      <c r="K283" s="21"/>
      <c r="L283" s="55"/>
      <c r="M283" s="18" t="s">
        <v>1</v>
      </c>
      <c r="N283" s="20"/>
      <c r="O283" s="20"/>
      <c r="P283" s="20"/>
      <c r="Q283" s="20"/>
      <c r="R283" s="20" t="s">
        <v>50</v>
      </c>
      <c r="S283" s="20" t="s">
        <v>51</v>
      </c>
      <c r="T283" s="20" t="s">
        <v>8</v>
      </c>
      <c r="U283" s="18"/>
      <c r="V283" s="51"/>
      <c r="W283" s="20"/>
    </row>
    <row x14ac:dyDescent="0.25" r="284" customHeight="1" ht="17.25">
      <c r="A284" s="21"/>
      <c r="B284" s="24"/>
      <c r="C284" s="35"/>
      <c r="D284" s="35"/>
      <c r="E284" s="37"/>
      <c r="F284" s="37"/>
      <c r="G284" s="21"/>
      <c r="H284" s="21"/>
      <c r="I284" s="21"/>
      <c r="J284" s="30"/>
      <c r="K284" s="21"/>
      <c r="L284" s="55" t="s">
        <v>52</v>
      </c>
      <c r="M284" s="18">
        <f>J3-J2</f>
      </c>
      <c r="N284" s="20"/>
      <c r="O284" s="20"/>
      <c r="P284" s="20"/>
      <c r="Q284" s="20"/>
      <c r="R284" s="20">
        <f>SUM(R3:R34)</f>
        <v>25569.1875</v>
      </c>
      <c r="S284" s="20">
        <f>SUM(S4:S34)</f>
        <v>25569.1875</v>
      </c>
      <c r="T284" s="20">
        <f>S284-R284</f>
        <v>25569.1875</v>
      </c>
      <c r="U284" s="18"/>
      <c r="V284" s="51"/>
      <c r="W284" s="20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A1:C366"/>
  <sheetViews>
    <sheetView workbookViewId="0"/>
  </sheetViews>
  <sheetFormatPr defaultRowHeight="15" x14ac:dyDescent="0.25"/>
  <cols>
    <col min="1" max="1" style="25" width="13.719285714285713" customWidth="1" bestFit="1"/>
    <col min="2" max="2" style="26" width="14.290714285714287" customWidth="1" bestFit="1"/>
    <col min="3" max="3" style="26" width="55.14785714285715" customWidth="1" bestFit="1"/>
  </cols>
  <sheetData>
    <row x14ac:dyDescent="0.25" r="1" customHeight="1" ht="17.25">
      <c r="A1" s="30" t="s">
        <v>0</v>
      </c>
      <c r="B1" s="21" t="s">
        <v>1</v>
      </c>
      <c r="C1" s="21"/>
    </row>
    <row x14ac:dyDescent="0.25" r="2" customHeight="1" ht="17.25">
      <c r="A2" s="6">
        <v>45658</v>
      </c>
      <c r="B2" s="31">
        <f>TEXT(A2,"0")</f>
      </c>
      <c r="C2" s="21" t="s">
        <v>20</v>
      </c>
    </row>
    <row x14ac:dyDescent="0.25" r="3" customHeight="1" ht="17.25">
      <c r="A3" s="6">
        <v>45659</v>
      </c>
      <c r="B3" s="31">
        <f>TEXT(A3,"0")</f>
      </c>
      <c r="C3" s="31">
        <f>IF(OR(WEEKDAY(A3)=7,WEEKDAY(A3)=1),"WEEKEND","")</f>
      </c>
    </row>
    <row x14ac:dyDescent="0.25" r="4" customHeight="1" ht="17.25">
      <c r="A4" s="6">
        <v>45660</v>
      </c>
      <c r="B4" s="31">
        <f>TEXT(A4,"0")</f>
      </c>
      <c r="C4" s="31">
        <f>IF(OR(WEEKDAY(A4)=7,WEEKDAY(A4)=1),"WEEKEND","")</f>
      </c>
    </row>
    <row x14ac:dyDescent="0.25" r="5" customHeight="1" ht="17.25">
      <c r="A5" s="6">
        <v>45661</v>
      </c>
      <c r="B5" s="31">
        <f>TEXT(A5,"0")</f>
      </c>
      <c r="C5" s="31">
        <f>IF(OR(WEEKDAY(A5)=7,WEEKDAY(A5)=1),"WEEKEND","")</f>
      </c>
    </row>
    <row x14ac:dyDescent="0.25" r="6" customHeight="1" ht="17.25">
      <c r="A6" s="6">
        <v>45662</v>
      </c>
      <c r="B6" s="31">
        <f>TEXT(A6,"0")</f>
      </c>
      <c r="C6" s="31">
        <f>IF(OR(WEEKDAY(A6)=7,WEEKDAY(A6)=1),"WEEKEND","")</f>
      </c>
    </row>
    <row x14ac:dyDescent="0.25" r="7" customHeight="1" ht="17.25">
      <c r="A7" s="6">
        <v>45663</v>
      </c>
      <c r="B7" s="31">
        <f>TEXT(A7,"0")</f>
      </c>
      <c r="C7" s="21" t="s">
        <v>21</v>
      </c>
    </row>
    <row x14ac:dyDescent="0.25" r="8" customHeight="1" ht="17.25">
      <c r="A8" s="6">
        <v>45664</v>
      </c>
      <c r="B8" s="31">
        <f>TEXT(A8,"0")</f>
      </c>
      <c r="C8" s="31">
        <f>IF(OR(WEEKDAY(A8)=7,WEEKDAY(A8)=1),"WEEKEND","")</f>
      </c>
    </row>
    <row x14ac:dyDescent="0.25" r="9" customHeight="1" ht="17.25">
      <c r="A9" s="6">
        <v>45665</v>
      </c>
      <c r="B9" s="31">
        <f>TEXT(A9,"0")</f>
      </c>
      <c r="C9" s="31">
        <f>IF(OR(WEEKDAY(A9)=7,WEEKDAY(A9)=1),"WEEKEND","")</f>
      </c>
    </row>
    <row x14ac:dyDescent="0.25" r="10" customHeight="1" ht="17.25">
      <c r="A10" s="6">
        <v>45666</v>
      </c>
      <c r="B10" s="31">
        <f>TEXT(A10,"0")</f>
      </c>
      <c r="C10" s="31">
        <f>IF(OR(WEEKDAY(A10)=7,WEEKDAY(A10)=1),"WEEKEND","")</f>
      </c>
    </row>
    <row x14ac:dyDescent="0.25" r="11" customHeight="1" ht="17.25">
      <c r="A11" s="6">
        <v>45667</v>
      </c>
      <c r="B11" s="31">
        <f>TEXT(A11,"0")</f>
      </c>
      <c r="C11" s="31">
        <f>IF(OR(WEEKDAY(A11)=7,WEEKDAY(A11)=1),"WEEKEND","")</f>
      </c>
    </row>
    <row x14ac:dyDescent="0.25" r="12" customHeight="1" ht="17.25">
      <c r="A12" s="6">
        <v>45668</v>
      </c>
      <c r="B12" s="31">
        <f>TEXT(A12,"0")</f>
      </c>
      <c r="C12" s="31">
        <f>IF(OR(WEEKDAY(A12)=7,WEEKDAY(A12)=1),"WEEKEND","")</f>
      </c>
    </row>
    <row x14ac:dyDescent="0.25" r="13" customHeight="1" ht="17.25">
      <c r="A13" s="6">
        <v>45669</v>
      </c>
      <c r="B13" s="31">
        <f>TEXT(A13,"0")</f>
      </c>
      <c r="C13" s="31">
        <f>IF(OR(WEEKDAY(A13)=7,WEEKDAY(A13)=1),"WEEKEND","")</f>
      </c>
    </row>
    <row x14ac:dyDescent="0.25" r="14" customHeight="1" ht="17.25">
      <c r="A14" s="6">
        <v>45670</v>
      </c>
      <c r="B14" s="31">
        <f>TEXT(A14,"0")</f>
      </c>
      <c r="C14" s="31">
        <f>IF(OR(WEEKDAY(A14)=7,WEEKDAY(A14)=1),"WEEKEND","")</f>
      </c>
    </row>
    <row x14ac:dyDescent="0.25" r="15" customHeight="1" ht="17.25">
      <c r="A15" s="6">
        <v>45671</v>
      </c>
      <c r="B15" s="31">
        <f>TEXT(A15,"0")</f>
      </c>
      <c r="C15" s="31">
        <f>IF(OR(WEEKDAY(A15)=7,WEEKDAY(A15)=1),"WEEKEND","")</f>
      </c>
    </row>
    <row x14ac:dyDescent="0.25" r="16" customHeight="1" ht="17.25">
      <c r="A16" s="6">
        <v>45672</v>
      </c>
      <c r="B16" s="31">
        <f>TEXT(A16,"0")</f>
      </c>
      <c r="C16" s="31">
        <f>IF(OR(WEEKDAY(A16)=7,WEEKDAY(A16)=1),"WEEKEND","")</f>
      </c>
    </row>
    <row x14ac:dyDescent="0.25" r="17" customHeight="1" ht="17.25">
      <c r="A17" s="6">
        <v>45673</v>
      </c>
      <c r="B17" s="31">
        <f>TEXT(A17,"0")</f>
      </c>
      <c r="C17" s="31">
        <f>IF(OR(WEEKDAY(A17)=7,WEEKDAY(A17)=1),"WEEKEND","")</f>
      </c>
    </row>
    <row x14ac:dyDescent="0.25" r="18" customHeight="1" ht="17.25">
      <c r="A18" s="6">
        <v>45674</v>
      </c>
      <c r="B18" s="31">
        <f>TEXT(A18,"0")</f>
      </c>
      <c r="C18" s="31">
        <f>IF(OR(WEEKDAY(A18)=7,WEEKDAY(A18)=1),"WEEKEND","")</f>
      </c>
    </row>
    <row x14ac:dyDescent="0.25" r="19" customHeight="1" ht="17.25">
      <c r="A19" s="6">
        <v>45675</v>
      </c>
      <c r="B19" s="31">
        <f>TEXT(A19,"0")</f>
      </c>
      <c r="C19" s="31">
        <f>IF(OR(WEEKDAY(A19)=7,WEEKDAY(A19)=1),"WEEKEND","")</f>
      </c>
    </row>
    <row x14ac:dyDescent="0.25" r="20" customHeight="1" ht="17.25">
      <c r="A20" s="6">
        <v>45676</v>
      </c>
      <c r="B20" s="31">
        <f>TEXT(A20,"0")</f>
      </c>
      <c r="C20" s="31">
        <f>IF(OR(WEEKDAY(A20)=7,WEEKDAY(A20)=1),"WEEKEND","")</f>
      </c>
    </row>
    <row x14ac:dyDescent="0.25" r="21" customHeight="1" ht="17.25">
      <c r="A21" s="6">
        <v>45677</v>
      </c>
      <c r="B21" s="31">
        <f>TEXT(A21,"0")</f>
      </c>
      <c r="C21" s="31">
        <f>IF(OR(WEEKDAY(A21)=7,WEEKDAY(A21)=1),"WEEKEND","")</f>
      </c>
    </row>
    <row x14ac:dyDescent="0.25" r="22" customHeight="1" ht="17.25">
      <c r="A22" s="6">
        <v>45678</v>
      </c>
      <c r="B22" s="31">
        <f>TEXT(A22,"0")</f>
      </c>
      <c r="C22" s="31">
        <f>IF(OR(WEEKDAY(A22)=7,WEEKDAY(A22)=1),"WEEKEND","")</f>
      </c>
    </row>
    <row x14ac:dyDescent="0.25" r="23" customHeight="1" ht="17.25">
      <c r="A23" s="6">
        <v>45679</v>
      </c>
      <c r="B23" s="31">
        <f>TEXT(A23,"0")</f>
      </c>
      <c r="C23" s="31">
        <f>IF(OR(WEEKDAY(A23)=7,WEEKDAY(A23)=1),"WEEKEND","")</f>
      </c>
    </row>
    <row x14ac:dyDescent="0.25" r="24" customHeight="1" ht="17.25">
      <c r="A24" s="6">
        <v>45680</v>
      </c>
      <c r="B24" s="31">
        <f>TEXT(A24,"0")</f>
      </c>
      <c r="C24" s="31">
        <f>IF(OR(WEEKDAY(A24)=7,WEEKDAY(A24)=1),"WEEKEND","")</f>
      </c>
    </row>
    <row x14ac:dyDescent="0.25" r="25" customHeight="1" ht="17.25">
      <c r="A25" s="6">
        <v>45681</v>
      </c>
      <c r="B25" s="31">
        <f>TEXT(A25,"0")</f>
      </c>
      <c r="C25" s="31">
        <f>IF(OR(WEEKDAY(A25)=7,WEEKDAY(A25)=1),"WEEKEND","")</f>
      </c>
    </row>
    <row x14ac:dyDescent="0.25" r="26" customHeight="1" ht="17.25">
      <c r="A26" s="6">
        <v>45682</v>
      </c>
      <c r="B26" s="31">
        <f>TEXT(A26,"0")</f>
      </c>
      <c r="C26" s="31">
        <f>IF(OR(WEEKDAY(A26)=7,WEEKDAY(A26)=1),"WEEKEND","")</f>
      </c>
    </row>
    <row x14ac:dyDescent="0.25" r="27" customHeight="1" ht="17.25">
      <c r="A27" s="6">
        <v>45683</v>
      </c>
      <c r="B27" s="31">
        <f>TEXT(A27,"0")</f>
      </c>
      <c r="C27" s="31">
        <f>IF(OR(WEEKDAY(A27)=7,WEEKDAY(A27)=1),"WEEKEND","")</f>
      </c>
    </row>
    <row x14ac:dyDescent="0.25" r="28" customHeight="1" ht="17.25">
      <c r="A28" s="6">
        <v>45684</v>
      </c>
      <c r="B28" s="31">
        <f>TEXT(A28,"0")</f>
      </c>
      <c r="C28" s="31">
        <f>IF(OR(WEEKDAY(A28)=7,WEEKDAY(A28)=1),"WEEKEND","")</f>
      </c>
    </row>
    <row x14ac:dyDescent="0.25" r="29" customHeight="1" ht="17.25">
      <c r="A29" s="6">
        <v>45685</v>
      </c>
      <c r="B29" s="31">
        <f>TEXT(A29,"0")</f>
      </c>
      <c r="C29" s="31">
        <f>IF(OR(WEEKDAY(A29)=7,WEEKDAY(A29)=1),"WEEKEND","")</f>
      </c>
    </row>
    <row x14ac:dyDescent="0.25" r="30" customHeight="1" ht="17.25">
      <c r="A30" s="6">
        <v>45686</v>
      </c>
      <c r="B30" s="31">
        <f>TEXT(A30,"0")</f>
      </c>
      <c r="C30" s="31">
        <f>IF(OR(WEEKDAY(A30)=7,WEEKDAY(A30)=1),"WEEKEND","")</f>
      </c>
    </row>
    <row x14ac:dyDescent="0.25" r="31" customHeight="1" ht="17.25">
      <c r="A31" s="6">
        <v>45687</v>
      </c>
      <c r="B31" s="31">
        <f>TEXT(A31,"0")</f>
      </c>
      <c r="C31" s="31">
        <f>IF(OR(WEEKDAY(A31)=7,WEEKDAY(A31)=1),"WEEKEND","")</f>
      </c>
    </row>
    <row x14ac:dyDescent="0.25" r="32" customHeight="1" ht="17.25">
      <c r="A32" s="6">
        <v>45688</v>
      </c>
      <c r="B32" s="31">
        <f>TEXT(A32,"0")</f>
      </c>
      <c r="C32" s="31">
        <f>IF(OR(WEEKDAY(A32)=7,WEEKDAY(A32)=1),"WEEKEND","")</f>
      </c>
    </row>
    <row x14ac:dyDescent="0.25" r="33" customHeight="1" ht="17.25">
      <c r="A33" s="6">
        <v>45689</v>
      </c>
      <c r="B33" s="31">
        <f>TEXT(A33,"0")</f>
      </c>
      <c r="C33" s="31">
        <f>IF(OR(WEEKDAY(A33)=7,WEEKDAY(A33)=1),"WEEKEND","")</f>
      </c>
    </row>
    <row x14ac:dyDescent="0.25" r="34" customHeight="1" ht="17.25">
      <c r="A34" s="6">
        <v>45690</v>
      </c>
      <c r="B34" s="31">
        <f>TEXT(A34,"0")</f>
      </c>
      <c r="C34" s="31">
        <f>IF(OR(WEEKDAY(A34)=7,WEEKDAY(A34)=1),"WEEKEND","")</f>
      </c>
    </row>
    <row x14ac:dyDescent="0.25" r="35" customHeight="1" ht="17.25">
      <c r="A35" s="6">
        <v>45691</v>
      </c>
      <c r="B35" s="31">
        <f>TEXT(A35,"0")</f>
      </c>
      <c r="C35" s="31">
        <f>IF(OR(WEEKDAY(A35)=7,WEEKDAY(A35)=1),"WEEKEND","")</f>
      </c>
    </row>
    <row x14ac:dyDescent="0.25" r="36" customHeight="1" ht="17.25">
      <c r="A36" s="6">
        <v>45692</v>
      </c>
      <c r="B36" s="31">
        <f>TEXT(A36,"0")</f>
      </c>
      <c r="C36" s="32"/>
    </row>
    <row x14ac:dyDescent="0.25" r="37" customHeight="1" ht="17.25">
      <c r="A37" s="6">
        <v>45693</v>
      </c>
      <c r="B37" s="31">
        <f>TEXT(A37,"0")</f>
      </c>
      <c r="C37" s="31">
        <f>IF(OR(WEEKDAY(A37)=7,WEEKDAY(A37)=1),"WEEKEND","")</f>
      </c>
    </row>
    <row x14ac:dyDescent="0.25" r="38" customHeight="1" ht="17.25">
      <c r="A38" s="6">
        <v>45694</v>
      </c>
      <c r="B38" s="31">
        <f>TEXT(A38,"0")</f>
      </c>
      <c r="C38" s="31">
        <f>IF(OR(WEEKDAY(A38)=7,WEEKDAY(A38)=1),"WEEKEND","")</f>
      </c>
    </row>
    <row x14ac:dyDescent="0.25" r="39" customHeight="1" ht="17.25">
      <c r="A39" s="6">
        <v>45695</v>
      </c>
      <c r="B39" s="31">
        <f>TEXT(A39,"0")</f>
      </c>
      <c r="C39" s="31">
        <f>IF(OR(WEEKDAY(A39)=7,WEEKDAY(A39)=1),"WEEKEND","")</f>
      </c>
    </row>
    <row x14ac:dyDescent="0.25" r="40" customHeight="1" ht="17.25">
      <c r="A40" s="6">
        <v>45696</v>
      </c>
      <c r="B40" s="31">
        <f>TEXT(A40,"0")</f>
      </c>
      <c r="C40" s="31">
        <f>IF(OR(WEEKDAY(A40)=7,WEEKDAY(A40)=1),"WEEKEND","")</f>
      </c>
    </row>
    <row x14ac:dyDescent="0.25" r="41" customHeight="1" ht="17.25">
      <c r="A41" s="6">
        <v>45697</v>
      </c>
      <c r="B41" s="31">
        <f>TEXT(A41,"0")</f>
      </c>
      <c r="C41" s="31">
        <f>IF(OR(WEEKDAY(A41)=7,WEEKDAY(A41)=1),"WEEKEND","")</f>
      </c>
    </row>
    <row x14ac:dyDescent="0.25" r="42" customHeight="1" ht="17.25">
      <c r="A42" s="6">
        <v>45698</v>
      </c>
      <c r="B42" s="31">
        <f>TEXT(A42,"0")</f>
      </c>
      <c r="C42" s="31">
        <f>IF(OR(WEEKDAY(A42)=7,WEEKDAY(A42)=1),"WEEKEND","")</f>
      </c>
    </row>
    <row x14ac:dyDescent="0.25" r="43" customHeight="1" ht="17.25">
      <c r="A43" s="6">
        <v>45699</v>
      </c>
      <c r="B43" s="31">
        <f>TEXT(A43,"0")</f>
      </c>
      <c r="C43" s="31">
        <f>IF(OR(WEEKDAY(A43)=7,WEEKDAY(A43)=1),"WEEKEND","")</f>
      </c>
    </row>
    <row x14ac:dyDescent="0.25" r="44" customHeight="1" ht="17.25">
      <c r="A44" s="6">
        <v>45700</v>
      </c>
      <c r="B44" s="31">
        <f>TEXT(A44,"0")</f>
      </c>
      <c r="C44" s="31">
        <f>IF(OR(WEEKDAY(A44)=7,WEEKDAY(A44)=1),"WEEKEND","")</f>
      </c>
    </row>
    <row x14ac:dyDescent="0.25" r="45" customHeight="1" ht="17.25">
      <c r="A45" s="6">
        <v>45701</v>
      </c>
      <c r="B45" s="31">
        <f>TEXT(A45,"0")</f>
      </c>
      <c r="C45" s="31">
        <f>IF(OR(WEEKDAY(A45)=7,WEEKDAY(A45)=1),"WEEKEND","")</f>
      </c>
    </row>
    <row x14ac:dyDescent="0.25" r="46" customHeight="1" ht="17.25">
      <c r="A46" s="6">
        <v>45702</v>
      </c>
      <c r="B46" s="31">
        <f>TEXT(A46,"0")</f>
      </c>
      <c r="C46" s="31">
        <f>IF(OR(WEEKDAY(A46)=7,WEEKDAY(A46)=1),"WEEKEND","")</f>
      </c>
    </row>
    <row x14ac:dyDescent="0.25" r="47" customHeight="1" ht="17.25">
      <c r="A47" s="6">
        <v>45703</v>
      </c>
      <c r="B47" s="31">
        <f>TEXT(A47,"0")</f>
      </c>
      <c r="C47" s="32"/>
    </row>
    <row x14ac:dyDescent="0.25" r="48" customHeight="1" ht="17.25">
      <c r="A48" s="6">
        <v>45704</v>
      </c>
      <c r="B48" s="31">
        <f>TEXT(A48,"0")</f>
      </c>
      <c r="C48" s="31">
        <f>IF(OR(WEEKDAY(A48)=7,WEEKDAY(A48)=1),"WEEKEND","")</f>
      </c>
    </row>
    <row x14ac:dyDescent="0.25" r="49" customHeight="1" ht="17.25">
      <c r="A49" s="6">
        <v>45705</v>
      </c>
      <c r="B49" s="31">
        <f>TEXT(A49,"0")</f>
      </c>
      <c r="C49" s="31">
        <f>IF(OR(WEEKDAY(A49)=7,WEEKDAY(A49)=1),"WEEKEND","")</f>
      </c>
    </row>
    <row x14ac:dyDescent="0.25" r="50" customHeight="1" ht="17.25">
      <c r="A50" s="6">
        <v>45706</v>
      </c>
      <c r="B50" s="31">
        <f>TEXT(A50,"0")</f>
      </c>
      <c r="C50" s="31">
        <f>IF(OR(WEEKDAY(A50)=7,WEEKDAY(A50)=1),"WEEKEND","")</f>
      </c>
    </row>
    <row x14ac:dyDescent="0.25" r="51" customHeight="1" ht="17.25">
      <c r="A51" s="6">
        <v>45707</v>
      </c>
      <c r="B51" s="31">
        <f>TEXT(A51,"0")</f>
      </c>
      <c r="C51" s="31">
        <f>IF(OR(WEEKDAY(A51)=7,WEEKDAY(A51)=1),"WEEKEND","")</f>
      </c>
    </row>
    <row x14ac:dyDescent="0.25" r="52" customHeight="1" ht="17.25">
      <c r="A52" s="6">
        <v>45708</v>
      </c>
      <c r="B52" s="31">
        <f>TEXT(A52,"0")</f>
      </c>
      <c r="C52" s="31">
        <f>IF(OR(WEEKDAY(A52)=7,WEEKDAY(A52)=1),"WEEKEND","")</f>
      </c>
    </row>
    <row x14ac:dyDescent="0.25" r="53" customHeight="1" ht="17.25">
      <c r="A53" s="6">
        <v>45709</v>
      </c>
      <c r="B53" s="31">
        <f>TEXT(A53,"0")</f>
      </c>
      <c r="C53" s="31">
        <f>IF(OR(WEEKDAY(A53)=7,WEEKDAY(A53)=1),"WEEKEND","")</f>
      </c>
    </row>
    <row x14ac:dyDescent="0.25" r="54" customHeight="1" ht="17.25">
      <c r="A54" s="6">
        <v>45710</v>
      </c>
      <c r="B54" s="31">
        <f>TEXT(A54,"0")</f>
      </c>
      <c r="C54" s="31">
        <f>IF(OR(WEEKDAY(A54)=7,WEEKDAY(A54)=1),"WEEKEND","")</f>
      </c>
    </row>
    <row x14ac:dyDescent="0.25" r="55" customHeight="1" ht="17.25">
      <c r="A55" s="6">
        <v>45711</v>
      </c>
      <c r="B55" s="31">
        <f>TEXT(A55,"0")</f>
      </c>
      <c r="C55" s="31">
        <f>IF(OR(WEEKDAY(A55)=7,WEEKDAY(A55)=1),"WEEKEND","")</f>
      </c>
    </row>
    <row x14ac:dyDescent="0.25" r="56" customHeight="1" ht="17.25">
      <c r="A56" s="6">
        <v>45712</v>
      </c>
      <c r="B56" s="31">
        <f>TEXT(A56,"0")</f>
      </c>
      <c r="C56" s="31">
        <f>IF(OR(WEEKDAY(A56)=7,WEEKDAY(A56)=1),"WEEKEND","")</f>
      </c>
    </row>
    <row x14ac:dyDescent="0.25" r="57" customHeight="1" ht="17.25">
      <c r="A57" s="6">
        <v>45713</v>
      </c>
      <c r="B57" s="31">
        <f>TEXT(A57,"0")</f>
      </c>
      <c r="C57" s="31">
        <f>IF(OR(WEEKDAY(A57)=7,WEEKDAY(A57)=1),"WEEKEND","")</f>
      </c>
    </row>
    <row x14ac:dyDescent="0.25" r="58" customHeight="1" ht="17.25">
      <c r="A58" s="6">
        <v>45714</v>
      </c>
      <c r="B58" s="31">
        <f>TEXT(A58,"0")</f>
      </c>
      <c r="C58" s="31">
        <f>IF(OR(WEEKDAY(A58)=7,WEEKDAY(A58)=1),"WEEKEND","")</f>
      </c>
    </row>
    <row x14ac:dyDescent="0.25" r="59" customHeight="1" ht="17.25">
      <c r="A59" s="6">
        <v>45715</v>
      </c>
      <c r="B59" s="31">
        <f>TEXT(A59,"0")</f>
      </c>
      <c r="C59" s="31">
        <f>IF(OR(WEEKDAY(A59)=7,WEEKDAY(A59)=1),"WEEKEND","")</f>
      </c>
    </row>
    <row x14ac:dyDescent="0.25" r="60" customHeight="1" ht="17.25">
      <c r="A60" s="6">
        <v>45716</v>
      </c>
      <c r="B60" s="31">
        <f>TEXT(A60,"0")</f>
      </c>
      <c r="C60" s="31">
        <f>IF(OR(WEEKDAY(A60)=7,WEEKDAY(A60)=1),"WEEKEND","")</f>
      </c>
    </row>
    <row x14ac:dyDescent="0.25" r="61" customHeight="1" ht="17.25">
      <c r="A61" s="6">
        <v>45717</v>
      </c>
      <c r="B61" s="31">
        <f>TEXT(A61,"0")</f>
      </c>
      <c r="C61" s="31">
        <f>IF(OR(WEEKDAY(A61)=7,WEEKDAY(A61)=1),"WEEKEND","")</f>
      </c>
    </row>
    <row x14ac:dyDescent="0.25" r="62" customHeight="1" ht="17.25">
      <c r="A62" s="6">
        <v>45718</v>
      </c>
      <c r="B62" s="31">
        <f>TEXT(A62,"0")</f>
      </c>
      <c r="C62" s="31">
        <f>IF(OR(WEEKDAY(A62)=7,WEEKDAY(A62)=1),"WEEKEND","")</f>
      </c>
    </row>
    <row x14ac:dyDescent="0.25" r="63" customHeight="1" ht="17.25">
      <c r="A63" s="6">
        <v>45719</v>
      </c>
      <c r="B63" s="31">
        <f>TEXT(A63,"0")</f>
      </c>
      <c r="C63" s="31">
        <f>IF(OR(WEEKDAY(A63)=7,WEEKDAY(A63)=1),"WEEKEND","")</f>
      </c>
    </row>
    <row x14ac:dyDescent="0.25" r="64" customHeight="1" ht="17.25">
      <c r="A64" s="6">
        <v>45720</v>
      </c>
      <c r="B64" s="31">
        <f>TEXT(A64,"0")</f>
      </c>
      <c r="C64" s="31">
        <f>IF(OR(WEEKDAY(A64)=7,WEEKDAY(A64)=1),"WEEKEND","")</f>
      </c>
    </row>
    <row x14ac:dyDescent="0.25" r="65" customHeight="1" ht="17.25">
      <c r="A65" s="6">
        <v>45721</v>
      </c>
      <c r="B65" s="31">
        <f>TEXT(A65,"0")</f>
      </c>
      <c r="C65" s="31">
        <f>IF(OR(WEEKDAY(A65)=7,WEEKDAY(A65)=1),"WEEKEND","")</f>
      </c>
    </row>
    <row x14ac:dyDescent="0.25" r="66" customHeight="1" ht="17.25">
      <c r="A66" s="6">
        <v>45722</v>
      </c>
      <c r="B66" s="31">
        <f>TEXT(A66,"0")</f>
      </c>
      <c r="C66" s="31">
        <f>IF(OR(WEEKDAY(A66)=7,WEEKDAY(A66)=1),"WEEKEND","")</f>
      </c>
    </row>
    <row x14ac:dyDescent="0.25" r="67" customHeight="1" ht="17.25">
      <c r="A67" s="6">
        <v>45723</v>
      </c>
      <c r="B67" s="31">
        <f>TEXT(A67,"0")</f>
      </c>
      <c r="C67" s="31">
        <f>IF(OR(WEEKDAY(A67)=7,WEEKDAY(A67)=1),"WEEKEND","")</f>
      </c>
    </row>
    <row x14ac:dyDescent="0.25" r="68" customHeight="1" ht="17.25">
      <c r="A68" s="6">
        <v>45724</v>
      </c>
      <c r="B68" s="31">
        <f>TEXT(A68,"0")</f>
      </c>
      <c r="C68" s="31">
        <f>IF(OR(WEEKDAY(A68)=7,WEEKDAY(A68)=1),"WEEKEND","")</f>
      </c>
    </row>
    <row x14ac:dyDescent="0.25" r="69" customHeight="1" ht="17.25">
      <c r="A69" s="6">
        <v>45725</v>
      </c>
      <c r="B69" s="31">
        <f>TEXT(A69,"0")</f>
      </c>
      <c r="C69" s="31">
        <f>IF(OR(WEEKDAY(A69)=7,WEEKDAY(A69)=1),"WEEKEND","")</f>
      </c>
    </row>
    <row x14ac:dyDescent="0.25" r="70" customHeight="1" ht="17.25">
      <c r="A70" s="6">
        <v>45726</v>
      </c>
      <c r="B70" s="31">
        <f>TEXT(A70,"0")</f>
      </c>
      <c r="C70" s="31">
        <f>IF(OR(WEEKDAY(A70)=7,WEEKDAY(A70)=1),"WEEKEND","")</f>
      </c>
    </row>
    <row x14ac:dyDescent="0.25" r="71" customHeight="1" ht="17.25">
      <c r="A71" s="6">
        <v>45727</v>
      </c>
      <c r="B71" s="31">
        <f>TEXT(A71,"0")</f>
      </c>
      <c r="C71" s="31">
        <f>IF(OR(WEEKDAY(A71)=7,WEEKDAY(A71)=1),"WEEKEND","")</f>
      </c>
    </row>
    <row x14ac:dyDescent="0.25" r="72" customHeight="1" ht="17.25">
      <c r="A72" s="6">
        <v>45728</v>
      </c>
      <c r="B72" s="31">
        <f>TEXT(A72,"0")</f>
      </c>
      <c r="C72" s="31">
        <f>IF(OR(WEEKDAY(A72)=7,WEEKDAY(A72)=1),"WEEKEND","")</f>
      </c>
    </row>
    <row x14ac:dyDescent="0.25" r="73" customHeight="1" ht="17.25">
      <c r="A73" s="6">
        <v>45729</v>
      </c>
      <c r="B73" s="31">
        <f>TEXT(A73,"0")</f>
      </c>
      <c r="C73" s="31">
        <f>IF(OR(WEEKDAY(A73)=7,WEEKDAY(A73)=1),"WEEKEND","")</f>
      </c>
    </row>
    <row x14ac:dyDescent="0.25" r="74" customHeight="1" ht="17.25">
      <c r="A74" s="6">
        <v>45730</v>
      </c>
      <c r="B74" s="31">
        <f>TEXT(A74,"0")</f>
      </c>
      <c r="C74" s="31">
        <f>IF(OR(WEEKDAY(A74)=7,WEEKDAY(A74)=1),"WEEKEND","")</f>
      </c>
    </row>
    <row x14ac:dyDescent="0.25" r="75" customHeight="1" ht="17.25">
      <c r="A75" s="6">
        <v>45731</v>
      </c>
      <c r="B75" s="31">
        <f>TEXT(A75,"0")</f>
      </c>
      <c r="C75" s="31">
        <f>IF(OR(WEEKDAY(A75)=7,WEEKDAY(A75)=1),"WEEKEND","")</f>
      </c>
    </row>
    <row x14ac:dyDescent="0.25" r="76" customHeight="1" ht="17.25">
      <c r="A76" s="6">
        <v>45732</v>
      </c>
      <c r="B76" s="31">
        <f>TEXT(A76,"0")</f>
      </c>
      <c r="C76" s="31">
        <f>IF(OR(WEEKDAY(A76)=7,WEEKDAY(A76)=1),"WEEKEND","")</f>
      </c>
    </row>
    <row x14ac:dyDescent="0.25" r="77" customHeight="1" ht="17.25">
      <c r="A77" s="6">
        <v>45733</v>
      </c>
      <c r="B77" s="31">
        <f>TEXT(A77,"0")</f>
      </c>
      <c r="C77" s="31">
        <f>IF(OR(WEEKDAY(A77)=7,WEEKDAY(A77)=1),"WEEKEND","")</f>
      </c>
    </row>
    <row x14ac:dyDescent="0.25" r="78" customHeight="1" ht="17.25">
      <c r="A78" s="6">
        <v>45734</v>
      </c>
      <c r="B78" s="31">
        <f>TEXT(A78,"0")</f>
      </c>
      <c r="C78" s="31">
        <f>IF(OR(WEEKDAY(A78)=7,WEEKDAY(A78)=1),"WEEKEND","")</f>
      </c>
    </row>
    <row x14ac:dyDescent="0.25" r="79" customHeight="1" ht="17.25">
      <c r="A79" s="6">
        <v>45735</v>
      </c>
      <c r="B79" s="31">
        <f>TEXT(A79,"0")</f>
      </c>
      <c r="C79" s="31">
        <f>IF(OR(WEEKDAY(A79)=7,WEEKDAY(A79)=1),"WEEKEND","")</f>
      </c>
    </row>
    <row x14ac:dyDescent="0.25" r="80" customHeight="1" ht="17.25">
      <c r="A80" s="6">
        <v>45736</v>
      </c>
      <c r="B80" s="31">
        <f>TEXT(A80,"0")</f>
      </c>
      <c r="C80" s="31">
        <f>IF(OR(WEEKDAY(A80)=7,WEEKDAY(A80)=1),"WEEKEND","")</f>
      </c>
    </row>
    <row x14ac:dyDescent="0.25" r="81" customHeight="1" ht="17.25">
      <c r="A81" s="6">
        <v>45737</v>
      </c>
      <c r="B81" s="31">
        <f>TEXT(A81,"0")</f>
      </c>
      <c r="C81" s="31">
        <f>IF(OR(WEEKDAY(A81)=7,WEEKDAY(A81)=1),"WEEKEND","")</f>
      </c>
    </row>
    <row x14ac:dyDescent="0.25" r="82" customHeight="1" ht="17.25">
      <c r="A82" s="6">
        <v>45738</v>
      </c>
      <c r="B82" s="31">
        <f>TEXT(A82,"0")</f>
      </c>
      <c r="C82" s="31">
        <f>IF(OR(WEEKDAY(A82)=7,WEEKDAY(A82)=1),"WEEKEND","")</f>
      </c>
    </row>
    <row x14ac:dyDescent="0.25" r="83" customHeight="1" ht="17.25">
      <c r="A83" s="6">
        <v>45739</v>
      </c>
      <c r="B83" s="31">
        <f>TEXT(A83,"0")</f>
      </c>
      <c r="C83" s="31">
        <f>IF(OR(WEEKDAY(A83)=7,WEEKDAY(A83)=1),"WEEKEND","")</f>
      </c>
    </row>
    <row x14ac:dyDescent="0.25" r="84" customHeight="1" ht="17.25">
      <c r="A84" s="6">
        <v>45740</v>
      </c>
      <c r="B84" s="31">
        <f>TEXT(A84,"0")</f>
      </c>
      <c r="C84" s="31">
        <f>IF(OR(WEEKDAY(A84)=7,WEEKDAY(A84)=1),"WEEKEND","")</f>
      </c>
    </row>
    <row x14ac:dyDescent="0.25" r="85" customHeight="1" ht="17.25">
      <c r="A85" s="6">
        <v>45741</v>
      </c>
      <c r="B85" s="31">
        <f>TEXT(A85,"0")</f>
      </c>
      <c r="C85" s="31">
        <f>IF(OR(WEEKDAY(A85)=7,WEEKDAY(A85)=1),"WEEKEND","")</f>
      </c>
    </row>
    <row x14ac:dyDescent="0.25" r="86" customHeight="1" ht="17.25">
      <c r="A86" s="6">
        <v>45742</v>
      </c>
      <c r="B86" s="31">
        <f>TEXT(A86,"0")</f>
      </c>
      <c r="C86" s="31">
        <f>IF(OR(WEEKDAY(A86)=7,WEEKDAY(A86)=1),"WEEKEND","")</f>
      </c>
    </row>
    <row x14ac:dyDescent="0.25" r="87" customHeight="1" ht="17.25">
      <c r="A87" s="6">
        <v>45743</v>
      </c>
      <c r="B87" s="31">
        <f>TEXT(A87,"0")</f>
      </c>
      <c r="C87" s="31">
        <f>IF(OR(WEEKDAY(A87)=7,WEEKDAY(A87)=1),"WEEKEND","")</f>
      </c>
    </row>
    <row x14ac:dyDescent="0.25" r="88" customHeight="1" ht="17.25">
      <c r="A88" s="6">
        <v>45744</v>
      </c>
      <c r="B88" s="31">
        <f>TEXT(A88,"0")</f>
      </c>
      <c r="C88" s="31">
        <f>IF(OR(WEEKDAY(A88)=7,WEEKDAY(A88)=1),"WEEKEND","")</f>
      </c>
    </row>
    <row x14ac:dyDescent="0.25" r="89" customHeight="1" ht="17.25">
      <c r="A89" s="6">
        <v>45745</v>
      </c>
      <c r="B89" s="31">
        <f>TEXT(A89,"0")</f>
      </c>
      <c r="C89" s="31">
        <f>IF(OR(WEEKDAY(A89)=7,WEEKDAY(A89)=1),"WEEKEND","")</f>
      </c>
    </row>
    <row x14ac:dyDescent="0.25" r="90" customHeight="1" ht="17.25">
      <c r="A90" s="6">
        <v>45746</v>
      </c>
      <c r="B90" s="31">
        <f>TEXT(A90,"0")</f>
      </c>
      <c r="C90" s="31">
        <f>IF(OR(WEEKDAY(A90)=7,WEEKDAY(A90)=1),"WEEKEND","")</f>
      </c>
    </row>
    <row x14ac:dyDescent="0.25" r="91" customHeight="1" ht="17.25">
      <c r="A91" s="6">
        <v>45747</v>
      </c>
      <c r="B91" s="31">
        <f>TEXT(A91,"0")</f>
      </c>
      <c r="C91" s="21" t="s">
        <v>22</v>
      </c>
    </row>
    <row x14ac:dyDescent="0.25" r="92" customHeight="1" ht="17.25">
      <c r="A92" s="6">
        <v>45748</v>
      </c>
      <c r="B92" s="31">
        <f>TEXT(A92,"0")</f>
      </c>
      <c r="C92" s="31">
        <f>IF(OR(WEEKDAY(A92)=7,WEEKDAY(A92)=1),"WEEKEND","")</f>
      </c>
    </row>
    <row x14ac:dyDescent="0.25" r="93" customHeight="1" ht="17.25">
      <c r="A93" s="6">
        <v>45749</v>
      </c>
      <c r="B93" s="31">
        <f>TEXT(A93,"0")</f>
      </c>
      <c r="C93" s="31">
        <f>IF(OR(WEEKDAY(A93)=7,WEEKDAY(A93)=1),"WEEKEND","")</f>
      </c>
    </row>
    <row x14ac:dyDescent="0.25" r="94" customHeight="1" ht="17.25">
      <c r="A94" s="6">
        <v>45750</v>
      </c>
      <c r="B94" s="31">
        <f>TEXT(A94,"0")</f>
      </c>
      <c r="C94" s="31">
        <f>IF(OR(WEEKDAY(A94)=7,WEEKDAY(A94)=1),"WEEKEND","")</f>
      </c>
    </row>
    <row x14ac:dyDescent="0.25" r="95" customHeight="1" ht="17.25">
      <c r="A95" s="6">
        <v>45751</v>
      </c>
      <c r="B95" s="31">
        <f>TEXT(A95,"0")</f>
      </c>
      <c r="C95" s="31">
        <f>IF(OR(WEEKDAY(A95)=7,WEEKDAY(A95)=1),"WEEKEND","")</f>
      </c>
    </row>
    <row x14ac:dyDescent="0.25" r="96" customHeight="1" ht="17.25">
      <c r="A96" s="6">
        <v>45752</v>
      </c>
      <c r="B96" s="31">
        <f>TEXT(A96,"0")</f>
      </c>
      <c r="C96" s="31">
        <f>IF(OR(WEEKDAY(A96)=7,WEEKDAY(A96)=1),"WEEKEND","")</f>
      </c>
    </row>
    <row x14ac:dyDescent="0.25" r="97" customHeight="1" ht="17.25">
      <c r="A97" s="6">
        <v>45753</v>
      </c>
      <c r="B97" s="31">
        <f>TEXT(A97,"0")</f>
      </c>
      <c r="C97" s="31">
        <f>IF(OR(WEEKDAY(A97)=7,WEEKDAY(A97)=1),"WEEKEND","")</f>
      </c>
    </row>
    <row x14ac:dyDescent="0.25" r="98" customHeight="1" ht="17.25">
      <c r="A98" s="6">
        <v>45754</v>
      </c>
      <c r="B98" s="31">
        <f>TEXT(A98,"0")</f>
      </c>
      <c r="C98" s="31">
        <f>IF(OR(WEEKDAY(A98)=7,WEEKDAY(A98)=1),"WEEKEND","")</f>
      </c>
    </row>
    <row x14ac:dyDescent="0.25" r="99" customHeight="1" ht="17.25">
      <c r="A99" s="6">
        <v>45755</v>
      </c>
      <c r="B99" s="31">
        <f>TEXT(A99,"0")</f>
      </c>
      <c r="C99" s="31">
        <f>IF(OR(WEEKDAY(A99)=7,WEEKDAY(A99)=1),"WEEKEND","")</f>
      </c>
    </row>
    <row x14ac:dyDescent="0.25" r="100" customHeight="1" ht="17.25">
      <c r="A100" s="6">
        <v>45756</v>
      </c>
      <c r="B100" s="31">
        <f>TEXT(A100,"0")</f>
      </c>
      <c r="C100" s="31">
        <f>IF(OR(WEEKDAY(A100)=7,WEEKDAY(A100)=1),"WEEKEND","")</f>
      </c>
    </row>
    <row x14ac:dyDescent="0.25" r="101" customHeight="1" ht="17.25">
      <c r="A101" s="6">
        <v>45757</v>
      </c>
      <c r="B101" s="31">
        <f>TEXT(A101,"0")</f>
      </c>
      <c r="C101" s="31">
        <f>IF(OR(WEEKDAY(A101)=7,WEEKDAY(A101)=1),"WEEKEND","")</f>
      </c>
    </row>
    <row x14ac:dyDescent="0.25" r="102" customHeight="1" ht="17.25">
      <c r="A102" s="6">
        <v>45758</v>
      </c>
      <c r="B102" s="31">
        <f>TEXT(A102,"0")</f>
      </c>
      <c r="C102" s="31">
        <f>IF(OR(WEEKDAY(A102)=7,WEEKDAY(A102)=1),"WEEKEND","")</f>
      </c>
    </row>
    <row x14ac:dyDescent="0.25" r="103" customHeight="1" ht="17.25">
      <c r="A103" s="6">
        <v>45759</v>
      </c>
      <c r="B103" s="31">
        <f>TEXT(A103,"0")</f>
      </c>
      <c r="C103" s="31">
        <f>IF(OR(WEEKDAY(A103)=7,WEEKDAY(A103)=1),"WEEKEND","")</f>
      </c>
    </row>
    <row x14ac:dyDescent="0.25" r="104" customHeight="1" ht="17.25">
      <c r="A104" s="6">
        <v>45760</v>
      </c>
      <c r="B104" s="31">
        <f>TEXT(A104,"0")</f>
      </c>
      <c r="C104" s="31">
        <f>IF(OR(WEEKDAY(A104)=7,WEEKDAY(A104)=1),"WEEKEND","")</f>
      </c>
    </row>
    <row x14ac:dyDescent="0.25" r="105" customHeight="1" ht="17.25">
      <c r="A105" s="6">
        <v>45761</v>
      </c>
      <c r="B105" s="31">
        <f>TEXT(A105,"0")</f>
      </c>
      <c r="C105" s="31">
        <f>IF(OR(WEEKDAY(A105)=7,WEEKDAY(A105)=1),"WEEKEND","")</f>
      </c>
    </row>
    <row x14ac:dyDescent="0.25" r="106" customHeight="1" ht="17.25">
      <c r="A106" s="6">
        <v>45762</v>
      </c>
      <c r="B106" s="31">
        <f>TEXT(A106,"0")</f>
      </c>
      <c r="C106" s="31">
        <f>IF(OR(WEEKDAY(A106)=7,WEEKDAY(A106)=1),"WEEKEND","")</f>
      </c>
    </row>
    <row x14ac:dyDescent="0.25" r="107" customHeight="1" ht="17.25">
      <c r="A107" s="6">
        <v>45763</v>
      </c>
      <c r="B107" s="31">
        <f>TEXT(A107,"0")</f>
      </c>
      <c r="C107" s="31">
        <f>IF(OR(WEEKDAY(A107)=7,WEEKDAY(A107)=1),"WEEKEND","")</f>
      </c>
    </row>
    <row x14ac:dyDescent="0.25" r="108" customHeight="1" ht="17.25">
      <c r="A108" s="6">
        <v>45764</v>
      </c>
      <c r="B108" s="31">
        <f>TEXT(A108,"0")</f>
      </c>
      <c r="C108" s="31">
        <f>IF(OR(WEEKDAY(A108)=7,WEEKDAY(A108)=1),"WEEKEND","")</f>
      </c>
    </row>
    <row x14ac:dyDescent="0.25" r="109" customHeight="1" ht="17.25">
      <c r="A109" s="6">
        <v>45765</v>
      </c>
      <c r="B109" s="31">
        <f>TEXT(A109,"0")</f>
      </c>
      <c r="C109" s="31">
        <f>IF(OR(WEEKDAY(A109)=7,WEEKDAY(A109)=1),"WEEKEND","")</f>
      </c>
    </row>
    <row x14ac:dyDescent="0.25" r="110" customHeight="1" ht="17.25">
      <c r="A110" s="6">
        <v>45766</v>
      </c>
      <c r="B110" s="31">
        <f>TEXT(A110,"0")</f>
      </c>
      <c r="C110" s="31">
        <f>IF(OR(WEEKDAY(A110)=7,WEEKDAY(A110)=1),"WEEKEND","")</f>
      </c>
    </row>
    <row x14ac:dyDescent="0.25" r="111" customHeight="1" ht="17.25">
      <c r="A111" s="6">
        <v>45767</v>
      </c>
      <c r="B111" s="31">
        <f>TEXT(A111,"0")</f>
      </c>
      <c r="C111" s="31">
        <f>IF(OR(WEEKDAY(A111)=7,WEEKDAY(A111)=1),"WEEKEND","")</f>
      </c>
    </row>
    <row x14ac:dyDescent="0.25" r="112" customHeight="1" ht="17.25">
      <c r="A112" s="6">
        <v>45768</v>
      </c>
      <c r="B112" s="31">
        <f>TEXT(A112,"0")</f>
      </c>
      <c r="C112" s="31">
        <f>IF(OR(WEEKDAY(A112)=7,WEEKDAY(A112)=1),"WEEKEND","")</f>
      </c>
    </row>
    <row x14ac:dyDescent="0.25" r="113" customHeight="1" ht="17.25">
      <c r="A113" s="6">
        <v>45769</v>
      </c>
      <c r="B113" s="31">
        <f>TEXT(A113,"0")</f>
      </c>
      <c r="C113" s="31">
        <f>IF(OR(WEEKDAY(A113)=7,WEEKDAY(A113)=1),"WEEKEND","")</f>
      </c>
    </row>
    <row x14ac:dyDescent="0.25" r="114" customHeight="1" ht="17.25">
      <c r="A114" s="6">
        <v>45770</v>
      </c>
      <c r="B114" s="31">
        <f>TEXT(A114,"0")</f>
      </c>
      <c r="C114" s="31">
        <f>IF(OR(WEEKDAY(A114)=7,WEEKDAY(A114)=1),"WEEKEND","")</f>
      </c>
    </row>
    <row x14ac:dyDescent="0.25" r="115" customHeight="1" ht="17.25">
      <c r="A115" s="6">
        <v>45771</v>
      </c>
      <c r="B115" s="31">
        <f>TEXT(A115,"0")</f>
      </c>
      <c r="C115" s="31">
        <f>IF(OR(WEEKDAY(A115)=7,WEEKDAY(A115)=1),"WEEKEND","")</f>
      </c>
    </row>
    <row x14ac:dyDescent="0.25" r="116" customHeight="1" ht="17.25">
      <c r="A116" s="6">
        <v>45772</v>
      </c>
      <c r="B116" s="31">
        <f>TEXT(A116,"0")</f>
      </c>
      <c r="C116" s="31">
        <f>IF(OR(WEEKDAY(A116)=7,WEEKDAY(A116)=1),"WEEKEND","")</f>
      </c>
    </row>
    <row x14ac:dyDescent="0.25" r="117" customHeight="1" ht="17.25">
      <c r="A117" s="6">
        <v>45773</v>
      </c>
      <c r="B117" s="31">
        <f>TEXT(A117,"0")</f>
      </c>
      <c r="C117" s="31">
        <f>IF(OR(WEEKDAY(A117)=7,WEEKDAY(A117)=1),"WEEKEND","")</f>
      </c>
    </row>
    <row x14ac:dyDescent="0.25" r="118" customHeight="1" ht="17.25">
      <c r="A118" s="6">
        <v>45774</v>
      </c>
      <c r="B118" s="31">
        <f>TEXT(A118,"0")</f>
      </c>
      <c r="C118" s="31">
        <f>IF(OR(WEEKDAY(A118)=7,WEEKDAY(A118)=1),"WEEKEND","")</f>
      </c>
    </row>
    <row x14ac:dyDescent="0.25" r="119" customHeight="1" ht="17.25">
      <c r="A119" s="6">
        <v>45775</v>
      </c>
      <c r="B119" s="31">
        <f>TEXT(A119,"0")</f>
      </c>
      <c r="C119" s="31">
        <f>IF(OR(WEEKDAY(A119)=7,WEEKDAY(A119)=1),"WEEKEND","")</f>
      </c>
    </row>
    <row x14ac:dyDescent="0.25" r="120" customHeight="1" ht="17.25">
      <c r="A120" s="6">
        <v>45776</v>
      </c>
      <c r="B120" s="31">
        <f>TEXT(A120,"0")</f>
      </c>
      <c r="C120" s="31">
        <f>IF(OR(WEEKDAY(A120)=7,WEEKDAY(A120)=1),"WEEKEND","")</f>
      </c>
    </row>
    <row x14ac:dyDescent="0.25" r="121" customHeight="1" ht="17.25">
      <c r="A121" s="6">
        <v>45777</v>
      </c>
      <c r="B121" s="31">
        <f>TEXT(A121,"0")</f>
      </c>
      <c r="C121" s="31">
        <f>IF(OR(WEEKDAY(A121)=7,WEEKDAY(A121)=1),"WEEKEND","")</f>
      </c>
    </row>
    <row x14ac:dyDescent="0.25" r="122" customHeight="1" ht="17.25">
      <c r="A122" s="6">
        <v>45778</v>
      </c>
      <c r="B122" s="31">
        <f>TEXT(A122,"0")</f>
      </c>
      <c r="C122" s="21" t="s">
        <v>23</v>
      </c>
    </row>
    <row x14ac:dyDescent="0.25" r="123" customHeight="1" ht="17.25">
      <c r="A123" s="6">
        <v>45779</v>
      </c>
      <c r="B123" s="31">
        <f>TEXT(A123,"0")</f>
      </c>
      <c r="C123" s="31">
        <f>IF(OR(WEEKDAY(A123)=7,WEEKDAY(A123)=1),"WEEKEND","")</f>
      </c>
    </row>
    <row x14ac:dyDescent="0.25" r="124" customHeight="1" ht="17.25">
      <c r="A124" s="6">
        <v>45780</v>
      </c>
      <c r="B124" s="31">
        <f>TEXT(A124,"0")</f>
      </c>
      <c r="C124" s="31">
        <f>IF(OR(WEEKDAY(A124)=7,WEEKDAY(A124)=1),"WEEKEND","")</f>
      </c>
    </row>
    <row x14ac:dyDescent="0.25" r="125" customHeight="1" ht="17.25">
      <c r="A125" s="6">
        <v>45781</v>
      </c>
      <c r="B125" s="31">
        <f>TEXT(A125,"0")</f>
      </c>
      <c r="C125" s="31">
        <f>IF(OR(WEEKDAY(A125)=7,WEEKDAY(A125)=1),"WEEKEND","")</f>
      </c>
    </row>
    <row x14ac:dyDescent="0.25" r="126" customHeight="1" ht="17.25">
      <c r="A126" s="6">
        <v>45782</v>
      </c>
      <c r="B126" s="31">
        <f>TEXT(A126,"0")</f>
      </c>
      <c r="C126" s="31">
        <f>IF(OR(WEEKDAY(A126)=7,WEEKDAY(A126)=1),"WEEKEND","")</f>
      </c>
    </row>
    <row x14ac:dyDescent="0.25" r="127" customHeight="1" ht="17.25">
      <c r="A127" s="6">
        <v>45783</v>
      </c>
      <c r="B127" s="31">
        <f>TEXT(A127,"0")</f>
      </c>
      <c r="C127" s="31">
        <f>IF(OR(WEEKDAY(A127)=7,WEEKDAY(A127)=1),"WEEKEND","")</f>
      </c>
    </row>
    <row x14ac:dyDescent="0.25" r="128" customHeight="1" ht="17.25">
      <c r="A128" s="6">
        <v>45784</v>
      </c>
      <c r="B128" s="31">
        <f>TEXT(A128,"0")</f>
      </c>
      <c r="C128" s="31">
        <f>IF(OR(WEEKDAY(A128)=7,WEEKDAY(A128)=1),"WEEKEND","")</f>
      </c>
    </row>
    <row x14ac:dyDescent="0.25" r="129" customHeight="1" ht="17.25">
      <c r="A129" s="6">
        <v>45785</v>
      </c>
      <c r="B129" s="31">
        <f>TEXT(A129,"0")</f>
      </c>
      <c r="C129" s="31">
        <f>IF(OR(WEEKDAY(A129)=7,WEEKDAY(A129)=1),"WEEKEND","")</f>
      </c>
    </row>
    <row x14ac:dyDescent="0.25" r="130" customHeight="1" ht="17.25">
      <c r="A130" s="6">
        <v>45786</v>
      </c>
      <c r="B130" s="31">
        <f>TEXT(A130,"0")</f>
      </c>
      <c r="C130" s="31">
        <f>IF(OR(WEEKDAY(A130)=7,WEEKDAY(A130)=1),"WEEKEND","")</f>
      </c>
    </row>
    <row x14ac:dyDescent="0.25" r="131" customHeight="1" ht="17.25">
      <c r="A131" s="6">
        <v>45787</v>
      </c>
      <c r="B131" s="31">
        <f>TEXT(A131,"0")</f>
      </c>
      <c r="C131" s="31">
        <f>IF(OR(WEEKDAY(A131)=7,WEEKDAY(A131)=1),"WEEKEND","")</f>
      </c>
    </row>
    <row x14ac:dyDescent="0.25" r="132" customHeight="1" ht="17.25">
      <c r="A132" s="6">
        <v>45788</v>
      </c>
      <c r="B132" s="31">
        <f>TEXT(A132,"0")</f>
      </c>
      <c r="C132" s="31">
        <f>IF(OR(WEEKDAY(A132)=7,WEEKDAY(A132)=1),"WEEKEND","")</f>
      </c>
    </row>
    <row x14ac:dyDescent="0.25" r="133" customHeight="1" ht="17.25">
      <c r="A133" s="6">
        <v>45789</v>
      </c>
      <c r="B133" s="31">
        <f>TEXT(A133,"0")</f>
      </c>
      <c r="C133" s="31">
        <f>IF(OR(WEEKDAY(A133)=7,WEEKDAY(A133)=1),"WEEKEND","")</f>
      </c>
    </row>
    <row x14ac:dyDescent="0.25" r="134" customHeight="1" ht="17.25">
      <c r="A134" s="6">
        <v>45790</v>
      </c>
      <c r="B134" s="31">
        <f>TEXT(A134,"0")</f>
      </c>
      <c r="C134" s="31">
        <f>IF(OR(WEEKDAY(A134)=7,WEEKDAY(A134)=1),"WEEKEND","")</f>
      </c>
    </row>
    <row x14ac:dyDescent="0.25" r="135" customHeight="1" ht="17.25">
      <c r="A135" s="6">
        <v>45791</v>
      </c>
      <c r="B135" s="31">
        <f>TEXT(A135,"0")</f>
      </c>
      <c r="C135" s="31">
        <f>IF(OR(WEEKDAY(A135)=7,WEEKDAY(A135)=1),"WEEKEND","")</f>
      </c>
    </row>
    <row x14ac:dyDescent="0.25" r="136" customHeight="1" ht="17.25">
      <c r="A136" s="6">
        <v>45792</v>
      </c>
      <c r="B136" s="31">
        <f>TEXT(A136,"0")</f>
      </c>
      <c r="C136" s="31">
        <f>IF(OR(WEEKDAY(A136)=7,WEEKDAY(A136)=1),"WEEKEND","")</f>
      </c>
    </row>
    <row x14ac:dyDescent="0.25" r="137" customHeight="1" ht="17.25">
      <c r="A137" s="6">
        <v>45793</v>
      </c>
      <c r="B137" s="31">
        <f>TEXT(A137,"0")</f>
      </c>
      <c r="C137" s="31">
        <f>IF(OR(WEEKDAY(A137)=7,WEEKDAY(A137)=1),"WEEKEND","")</f>
      </c>
    </row>
    <row x14ac:dyDescent="0.25" r="138" customHeight="1" ht="17.25">
      <c r="A138" s="6">
        <v>45794</v>
      </c>
      <c r="B138" s="31">
        <f>TEXT(A138,"0")</f>
      </c>
      <c r="C138" s="31">
        <f>IF(OR(WEEKDAY(A138)=7,WEEKDAY(A138)=1),"WEEKEND","")</f>
      </c>
    </row>
    <row x14ac:dyDescent="0.25" r="139" customHeight="1" ht="17.25">
      <c r="A139" s="6">
        <v>45795</v>
      </c>
      <c r="B139" s="31">
        <f>TEXT(A139,"0")</f>
      </c>
      <c r="C139" s="31">
        <f>IF(OR(WEEKDAY(A139)=7,WEEKDAY(A139)=1),"WEEKEND","")</f>
      </c>
    </row>
    <row x14ac:dyDescent="0.25" r="140" customHeight="1" ht="17.25">
      <c r="A140" s="6">
        <v>45796</v>
      </c>
      <c r="B140" s="31">
        <f>TEXT(A140,"0")</f>
      </c>
      <c r="C140" s="31">
        <f>IF(OR(WEEKDAY(A140)=7,WEEKDAY(A140)=1),"WEEKEND","")</f>
      </c>
    </row>
    <row x14ac:dyDescent="0.25" r="141" customHeight="1" ht="17.25">
      <c r="A141" s="6">
        <v>45797</v>
      </c>
      <c r="B141" s="31">
        <f>TEXT(A141,"0")</f>
      </c>
      <c r="C141" s="31">
        <f>IF(OR(WEEKDAY(A141)=7,WEEKDAY(A141)=1),"WEEKEND","")</f>
      </c>
    </row>
    <row x14ac:dyDescent="0.25" r="142" customHeight="1" ht="17.25">
      <c r="A142" s="6">
        <v>45798</v>
      </c>
      <c r="B142" s="31">
        <f>TEXT(A142,"0")</f>
      </c>
      <c r="C142" s="31">
        <f>IF(OR(WEEKDAY(A142)=7,WEEKDAY(A142)=1),"WEEKEND","")</f>
      </c>
    </row>
    <row x14ac:dyDescent="0.25" r="143" customHeight="1" ht="17.25">
      <c r="A143" s="6">
        <v>45799</v>
      </c>
      <c r="B143" s="31">
        <f>TEXT(A143,"0")</f>
      </c>
      <c r="C143" s="31">
        <f>IF(OR(WEEKDAY(A143)=7,WEEKDAY(A143)=1),"WEEKEND","")</f>
      </c>
    </row>
    <row x14ac:dyDescent="0.25" r="144" customHeight="1" ht="17.25">
      <c r="A144" s="6">
        <v>45800</v>
      </c>
      <c r="B144" s="31">
        <f>TEXT(A144,"0")</f>
      </c>
      <c r="C144" s="31">
        <f>IF(OR(WEEKDAY(A144)=7,WEEKDAY(A144)=1),"WEEKEND","")</f>
      </c>
    </row>
    <row x14ac:dyDescent="0.25" r="145" customHeight="1" ht="17.25">
      <c r="A145" s="6">
        <v>45801</v>
      </c>
      <c r="B145" s="31">
        <f>TEXT(A145,"0")</f>
      </c>
      <c r="C145" s="31">
        <f>IF(OR(WEEKDAY(A145)=7,WEEKDAY(A145)=1),"WEEKEND","")</f>
      </c>
    </row>
    <row x14ac:dyDescent="0.25" r="146" customHeight="1" ht="17.25">
      <c r="A146" s="6">
        <v>45802</v>
      </c>
      <c r="B146" s="31">
        <f>TEXT(A146,"0")</f>
      </c>
      <c r="C146" s="31">
        <f>IF(OR(WEEKDAY(A146)=7,WEEKDAY(A146)=1),"WEEKEND","")</f>
      </c>
    </row>
    <row x14ac:dyDescent="0.25" r="147" customHeight="1" ht="17.25">
      <c r="A147" s="6">
        <v>45803</v>
      </c>
      <c r="B147" s="31">
        <f>TEXT(A147,"0")</f>
      </c>
      <c r="C147" s="31">
        <f>IF(OR(WEEKDAY(A147)=7,WEEKDAY(A147)=1),"WEEKEND","")</f>
      </c>
    </row>
    <row x14ac:dyDescent="0.25" r="148" customHeight="1" ht="17.25">
      <c r="A148" s="6">
        <v>45804</v>
      </c>
      <c r="B148" s="31">
        <f>TEXT(A148,"0")</f>
      </c>
      <c r="C148" s="31">
        <f>IF(OR(WEEKDAY(A148)=7,WEEKDAY(A148)=1),"WEEKEND","")</f>
      </c>
    </row>
    <row x14ac:dyDescent="0.25" r="149" customHeight="1" ht="17.25">
      <c r="A149" s="6">
        <v>45805</v>
      </c>
      <c r="B149" s="31">
        <f>TEXT(A149,"0")</f>
      </c>
      <c r="C149" s="31">
        <f>IF(OR(WEEKDAY(A149)=7,WEEKDAY(A149)=1),"WEEKEND","")</f>
      </c>
    </row>
    <row x14ac:dyDescent="0.25" r="150" customHeight="1" ht="17.25">
      <c r="A150" s="6">
        <v>45806</v>
      </c>
      <c r="B150" s="31">
        <f>TEXT(A150,"0")</f>
      </c>
      <c r="C150" s="21" t="s">
        <v>24</v>
      </c>
    </row>
    <row x14ac:dyDescent="0.25" r="151" customHeight="1" ht="17.25">
      <c r="A151" s="6">
        <v>45807</v>
      </c>
      <c r="B151" s="31">
        <f>TEXT(A151,"0")</f>
      </c>
      <c r="C151" s="31">
        <f>IF(OR(WEEKDAY(A151)=7,WEEKDAY(A151)=1),"WEEKEND","")</f>
      </c>
    </row>
    <row x14ac:dyDescent="0.25" r="152" customHeight="1" ht="17.25">
      <c r="A152" s="6">
        <v>45808</v>
      </c>
      <c r="B152" s="31">
        <f>TEXT(A152,"0")</f>
      </c>
      <c r="C152" s="31">
        <f>IF(OR(WEEKDAY(A152)=7,WEEKDAY(A152)=1),"WEEKEND","")</f>
      </c>
    </row>
    <row x14ac:dyDescent="0.25" r="153" customHeight="1" ht="17.25">
      <c r="A153" s="6">
        <v>45809</v>
      </c>
      <c r="B153" s="31">
        <f>TEXT(A153,"0")</f>
      </c>
      <c r="C153" s="31">
        <f>IF(OR(WEEKDAY(A153)=7,WEEKDAY(A153)=1),"WEEKEND","")</f>
      </c>
    </row>
    <row x14ac:dyDescent="0.25" r="154" customHeight="1" ht="17.25">
      <c r="A154" s="6">
        <v>45810</v>
      </c>
      <c r="B154" s="31">
        <f>TEXT(A154,"0")</f>
      </c>
      <c r="C154" s="31">
        <f>IF(OR(WEEKDAY(A154)=7,WEEKDAY(A154)=1),"WEEKEND","")</f>
      </c>
    </row>
    <row x14ac:dyDescent="0.25" r="155" customHeight="1" ht="17.25">
      <c r="A155" s="6">
        <v>45811</v>
      </c>
      <c r="B155" s="31">
        <f>TEXT(A155,"0")</f>
      </c>
      <c r="C155" s="31">
        <f>IF(OR(WEEKDAY(A155)=7,WEEKDAY(A155)=1),"WEEKEND","")</f>
      </c>
    </row>
    <row x14ac:dyDescent="0.25" r="156" customHeight="1" ht="17.25">
      <c r="A156" s="6">
        <v>45812</v>
      </c>
      <c r="B156" s="31">
        <f>TEXT(A156,"0")</f>
      </c>
      <c r="C156" s="31">
        <f>IF(OR(WEEKDAY(A156)=7,WEEKDAY(A156)=1),"WEEKEND","")</f>
      </c>
    </row>
    <row x14ac:dyDescent="0.25" r="157" customHeight="1" ht="17.25">
      <c r="A157" s="6">
        <v>45813</v>
      </c>
      <c r="B157" s="31">
        <f>TEXT(A157,"0")</f>
      </c>
      <c r="C157" s="31">
        <f>IF(OR(WEEKDAY(A157)=7,WEEKDAY(A157)=1),"WEEKEND","")</f>
      </c>
    </row>
    <row x14ac:dyDescent="0.25" r="158" customHeight="1" ht="17.25">
      <c r="A158" s="6">
        <v>45814</v>
      </c>
      <c r="B158" s="31">
        <f>TEXT(A158,"0")</f>
      </c>
      <c r="C158" s="31">
        <f>IF(OR(WEEKDAY(A158)=7,WEEKDAY(A158)=1),"WEEKEND","")</f>
      </c>
    </row>
    <row x14ac:dyDescent="0.25" r="159" customHeight="1" ht="17.25">
      <c r="A159" s="6">
        <v>45815</v>
      </c>
      <c r="B159" s="31">
        <f>TEXT(A159,"0")</f>
      </c>
      <c r="C159" s="31">
        <f>IF(OR(WEEKDAY(A159)=7,WEEKDAY(A159)=1),"WEEKEND","")</f>
      </c>
    </row>
    <row x14ac:dyDescent="0.25" r="160" customHeight="1" ht="17.25">
      <c r="A160" s="6">
        <v>45816</v>
      </c>
      <c r="B160" s="31">
        <f>TEXT(A160,"0")</f>
      </c>
      <c r="C160" s="31">
        <f>IF(OR(WEEKDAY(A160)=7,WEEKDAY(A160)=1),"WEEKEND","")</f>
      </c>
    </row>
    <row x14ac:dyDescent="0.25" r="161" customHeight="1" ht="17.25">
      <c r="A161" s="6">
        <v>45817</v>
      </c>
      <c r="B161" s="31">
        <f>TEXT(A161,"0")</f>
      </c>
      <c r="C161" s="21" t="s">
        <v>25</v>
      </c>
    </row>
    <row x14ac:dyDescent="0.25" r="162" customHeight="1" ht="17.25">
      <c r="A162" s="6">
        <v>45818</v>
      </c>
      <c r="B162" s="31">
        <f>TEXT(A162,"0")</f>
      </c>
      <c r="C162" s="31">
        <f>IF(OR(WEEKDAY(A162)=7,WEEKDAY(A162)=1),"WEEKEND","")</f>
      </c>
    </row>
    <row x14ac:dyDescent="0.25" r="163" customHeight="1" ht="17.25">
      <c r="A163" s="6">
        <v>45819</v>
      </c>
      <c r="B163" s="31">
        <f>TEXT(A163,"0")</f>
      </c>
      <c r="C163" s="31">
        <f>IF(OR(WEEKDAY(A163)=7,WEEKDAY(A163)=1),"WEEKEND","")</f>
      </c>
    </row>
    <row x14ac:dyDescent="0.25" r="164" customHeight="1" ht="17.25">
      <c r="A164" s="6">
        <v>45820</v>
      </c>
      <c r="B164" s="31">
        <f>TEXT(A164,"0")</f>
      </c>
      <c r="C164" s="31">
        <f>IF(OR(WEEKDAY(A164)=7,WEEKDAY(A164)=1),"WEEKEND","")</f>
      </c>
    </row>
    <row x14ac:dyDescent="0.25" r="165" customHeight="1" ht="17.25">
      <c r="A165" s="6">
        <v>45821</v>
      </c>
      <c r="B165" s="31">
        <f>TEXT(A165,"0")</f>
      </c>
      <c r="C165" s="32"/>
    </row>
    <row x14ac:dyDescent="0.25" r="166" customHeight="1" ht="17.25">
      <c r="A166" s="6">
        <v>45822</v>
      </c>
      <c r="B166" s="31">
        <f>TEXT(A166,"0")</f>
      </c>
      <c r="C166" s="31">
        <f>IF(OR(WEEKDAY(A166)=7,WEEKDAY(A166)=1),"WEEKEND","")</f>
      </c>
    </row>
    <row x14ac:dyDescent="0.25" r="167" customHeight="1" ht="17.25">
      <c r="A167" s="6">
        <v>45823</v>
      </c>
      <c r="B167" s="31">
        <f>TEXT(A167,"0")</f>
      </c>
      <c r="C167" s="31">
        <f>IF(OR(WEEKDAY(A167)=7,WEEKDAY(A167)=1),"WEEKEND","")</f>
      </c>
    </row>
    <row x14ac:dyDescent="0.25" r="168" customHeight="1" ht="17.25">
      <c r="A168" s="6">
        <v>45824</v>
      </c>
      <c r="B168" s="31">
        <f>TEXT(A168,"0")</f>
      </c>
      <c r="C168" s="31">
        <f>IF(OR(WEEKDAY(A168)=7,WEEKDAY(A168)=1),"WEEKEND","")</f>
      </c>
    </row>
    <row x14ac:dyDescent="0.25" r="169" customHeight="1" ht="17.25">
      <c r="A169" s="6">
        <v>45825</v>
      </c>
      <c r="B169" s="31">
        <f>TEXT(A169,"0")</f>
      </c>
      <c r="C169" s="31">
        <f>IF(OR(WEEKDAY(A169)=7,WEEKDAY(A169)=1),"WEEKEND","")</f>
      </c>
    </row>
    <row x14ac:dyDescent="0.25" r="170" customHeight="1" ht="17.25">
      <c r="A170" s="6">
        <v>45826</v>
      </c>
      <c r="B170" s="31">
        <f>TEXT(A170,"0")</f>
      </c>
      <c r="C170" s="33"/>
    </row>
    <row x14ac:dyDescent="0.25" r="171" customHeight="1" ht="17.25">
      <c r="A171" s="6">
        <v>45827</v>
      </c>
      <c r="B171" s="31">
        <f>TEXT(A171,"0")</f>
      </c>
      <c r="C171" s="21" t="s">
        <v>26</v>
      </c>
    </row>
    <row x14ac:dyDescent="0.25" r="172" customHeight="1" ht="17.25">
      <c r="A172" s="6">
        <v>45828</v>
      </c>
      <c r="B172" s="31">
        <f>TEXT(A172,"0")</f>
      </c>
      <c r="C172" s="31">
        <f>IF(OR(WEEKDAY(A172)=7,WEEKDAY(A172)=1),"WEEKEND","")</f>
      </c>
    </row>
    <row x14ac:dyDescent="0.25" r="173" customHeight="1" ht="17.25">
      <c r="A173" s="6">
        <v>45829</v>
      </c>
      <c r="B173" s="31">
        <f>TEXT(A173,"0")</f>
      </c>
      <c r="C173" s="31">
        <f>IF(OR(WEEKDAY(A173)=7,WEEKDAY(A173)=1),"WEEKEND","")</f>
      </c>
    </row>
    <row x14ac:dyDescent="0.25" r="174" customHeight="1" ht="17.25">
      <c r="A174" s="6">
        <v>45830</v>
      </c>
      <c r="B174" s="31">
        <f>TEXT(A174,"0")</f>
      </c>
      <c r="C174" s="31">
        <f>IF(OR(WEEKDAY(A174)=7,WEEKDAY(A174)=1),"WEEKEND","")</f>
      </c>
    </row>
    <row x14ac:dyDescent="0.25" r="175" customHeight="1" ht="17.25">
      <c r="A175" s="6">
        <v>45831</v>
      </c>
      <c r="B175" s="31">
        <f>TEXT(A175,"0")</f>
      </c>
      <c r="C175" s="31">
        <f>IF(OR(WEEKDAY(A175)=7,WEEKDAY(A175)=1),"WEEKEND","")</f>
      </c>
    </row>
    <row x14ac:dyDescent="0.25" r="176" customHeight="1" ht="17.25">
      <c r="A176" s="6">
        <v>45832</v>
      </c>
      <c r="B176" s="31">
        <f>TEXT(A176,"0")</f>
      </c>
      <c r="C176" s="31">
        <f>IF(OR(WEEKDAY(A176)=7,WEEKDAY(A176)=1),"WEEKEND","")</f>
      </c>
    </row>
    <row x14ac:dyDescent="0.25" r="177" customHeight="1" ht="17.25">
      <c r="A177" s="6">
        <v>45833</v>
      </c>
      <c r="B177" s="31">
        <f>TEXT(A177,"0")</f>
      </c>
      <c r="C177" s="31">
        <f>IF(OR(WEEKDAY(A177)=7,WEEKDAY(A177)=1),"WEEKEND","")</f>
      </c>
    </row>
    <row x14ac:dyDescent="0.25" r="178" customHeight="1" ht="17.25">
      <c r="A178" s="6">
        <v>45834</v>
      </c>
      <c r="B178" s="31">
        <f>TEXT(A178,"0")</f>
      </c>
      <c r="C178" s="31">
        <f>IF(OR(WEEKDAY(A178)=7,WEEKDAY(A178)=1),"WEEKEND","")</f>
      </c>
    </row>
    <row x14ac:dyDescent="0.25" r="179" customHeight="1" ht="17.25">
      <c r="A179" s="6">
        <v>45835</v>
      </c>
      <c r="B179" s="31">
        <f>TEXT(A179,"0")</f>
      </c>
      <c r="C179" s="31">
        <f>IF(OR(WEEKDAY(A179)=7,WEEKDAY(A179)=1),"WEEKEND","")</f>
      </c>
    </row>
    <row x14ac:dyDescent="0.25" r="180" customHeight="1" ht="17.25">
      <c r="A180" s="6">
        <v>45836</v>
      </c>
      <c r="B180" s="31">
        <f>TEXT(A180,"0")</f>
      </c>
      <c r="C180" s="31">
        <f>IF(OR(WEEKDAY(A180)=7,WEEKDAY(A180)=1),"WEEKEND","")</f>
      </c>
    </row>
    <row x14ac:dyDescent="0.25" r="181" customHeight="1" ht="17.25">
      <c r="A181" s="6">
        <v>45837</v>
      </c>
      <c r="B181" s="31">
        <f>TEXT(A181,"0")</f>
      </c>
      <c r="C181" s="31">
        <f>IF(OR(WEEKDAY(A181)=7,WEEKDAY(A181)=1),"WEEKEND","")</f>
      </c>
    </row>
    <row x14ac:dyDescent="0.25" r="182" customHeight="1" ht="17.25">
      <c r="A182" s="6">
        <v>45838</v>
      </c>
      <c r="B182" s="31">
        <f>TEXT(A182,"0")</f>
      </c>
      <c r="C182" s="31">
        <f>IF(OR(WEEKDAY(A182)=7,WEEKDAY(A182)=1),"WEEKEND","")</f>
      </c>
    </row>
    <row x14ac:dyDescent="0.25" r="183" customHeight="1" ht="17.25">
      <c r="A183" s="6">
        <v>45839</v>
      </c>
      <c r="B183" s="31">
        <f>TEXT(A183,"0")</f>
      </c>
      <c r="C183" s="31">
        <f>IF(OR(WEEKDAY(A183)=7,WEEKDAY(A183)=1),"WEEKEND","")</f>
      </c>
    </row>
    <row x14ac:dyDescent="0.25" r="184" customHeight="1" ht="17.25">
      <c r="A184" s="6">
        <v>45840</v>
      </c>
      <c r="B184" s="31">
        <f>TEXT(A184,"0")</f>
      </c>
      <c r="C184" s="31">
        <f>IF(OR(WEEKDAY(A184)=7,WEEKDAY(A184)=1),"WEEKEND","")</f>
      </c>
    </row>
    <row x14ac:dyDescent="0.25" r="185" customHeight="1" ht="17.25">
      <c r="A185" s="6">
        <v>45841</v>
      </c>
      <c r="B185" s="31">
        <f>TEXT(A185,"0")</f>
      </c>
      <c r="C185" s="31">
        <f>IF(OR(WEEKDAY(A185)=7,WEEKDAY(A185)=1),"WEEKEND","")</f>
      </c>
    </row>
    <row x14ac:dyDescent="0.25" r="186" customHeight="1" ht="17.25">
      <c r="A186" s="6">
        <v>45842</v>
      </c>
      <c r="B186" s="31">
        <f>TEXT(A186,"0")</f>
      </c>
      <c r="C186" s="31">
        <f>IF(OR(WEEKDAY(A186)=7,WEEKDAY(A186)=1),"WEEKEND","")</f>
      </c>
    </row>
    <row x14ac:dyDescent="0.25" r="187" customHeight="1" ht="17.25">
      <c r="A187" s="6">
        <v>45843</v>
      </c>
      <c r="B187" s="31">
        <f>TEXT(A187,"0")</f>
      </c>
      <c r="C187" s="31">
        <f>IF(OR(WEEKDAY(A187)=7,WEEKDAY(A187)=1),"WEEKEND","")</f>
      </c>
    </row>
    <row x14ac:dyDescent="0.25" r="188" customHeight="1" ht="17.25">
      <c r="A188" s="6">
        <v>45844</v>
      </c>
      <c r="B188" s="31">
        <f>TEXT(A188,"0")</f>
      </c>
      <c r="C188" s="31">
        <f>IF(OR(WEEKDAY(A188)=7,WEEKDAY(A188)=1),"WEEKEND","")</f>
      </c>
    </row>
    <row x14ac:dyDescent="0.25" r="189" customHeight="1" ht="17.25">
      <c r="A189" s="6">
        <v>45845</v>
      </c>
      <c r="B189" s="31">
        <f>TEXT(A189,"0")</f>
      </c>
      <c r="C189" s="31">
        <f>IF(OR(WEEKDAY(A189)=7,WEEKDAY(A189)=1),"WEEKEND","")</f>
      </c>
    </row>
    <row x14ac:dyDescent="0.25" r="190" customHeight="1" ht="17.25">
      <c r="A190" s="6">
        <v>45846</v>
      </c>
      <c r="B190" s="31">
        <f>TEXT(A190,"0")</f>
      </c>
      <c r="C190" s="31">
        <f>IF(OR(WEEKDAY(A190)=7,WEEKDAY(A190)=1),"WEEKEND","")</f>
      </c>
    </row>
    <row x14ac:dyDescent="0.25" r="191" customHeight="1" ht="17.25">
      <c r="A191" s="6">
        <v>45847</v>
      </c>
      <c r="B191" s="31">
        <f>TEXT(A191,"0")</f>
      </c>
      <c r="C191" s="31">
        <f>IF(OR(WEEKDAY(A191)=7,WEEKDAY(A191)=1),"WEEKEND","")</f>
      </c>
    </row>
    <row x14ac:dyDescent="0.25" r="192" customHeight="1" ht="17.25">
      <c r="A192" s="6">
        <v>45848</v>
      </c>
      <c r="B192" s="31">
        <f>TEXT(A192,"0")</f>
      </c>
      <c r="C192" s="31">
        <f>IF(OR(WEEKDAY(A192)=7,WEEKDAY(A192)=1),"WEEKEND","")</f>
      </c>
    </row>
    <row x14ac:dyDescent="0.25" r="193" customHeight="1" ht="17.25">
      <c r="A193" s="6">
        <v>45849</v>
      </c>
      <c r="B193" s="31">
        <f>TEXT(A193,"0")</f>
      </c>
      <c r="C193" s="31">
        <f>IF(OR(WEEKDAY(A193)=7,WEEKDAY(A193)=1),"WEEKEND","")</f>
      </c>
    </row>
    <row x14ac:dyDescent="0.25" r="194" customHeight="1" ht="17.25">
      <c r="A194" s="6">
        <v>45850</v>
      </c>
      <c r="B194" s="31">
        <f>TEXT(A194,"0")</f>
      </c>
      <c r="C194" s="31">
        <f>IF(OR(WEEKDAY(A194)=7,WEEKDAY(A194)=1),"WEEKEND","")</f>
      </c>
    </row>
    <row x14ac:dyDescent="0.25" r="195" customHeight="1" ht="17.25">
      <c r="A195" s="6">
        <v>45851</v>
      </c>
      <c r="B195" s="31">
        <f>TEXT(A195,"0")</f>
      </c>
      <c r="C195" s="31">
        <f>IF(OR(WEEKDAY(A195)=7,WEEKDAY(A195)=1),"WEEKEND","")</f>
      </c>
    </row>
    <row x14ac:dyDescent="0.25" r="196" customHeight="1" ht="17.25">
      <c r="A196" s="6">
        <v>45852</v>
      </c>
      <c r="B196" s="31">
        <f>TEXT(A196,"0")</f>
      </c>
      <c r="C196" s="31">
        <f>IF(OR(WEEKDAY(A196)=7,WEEKDAY(A196)=1),"WEEKEND","")</f>
      </c>
    </row>
    <row x14ac:dyDescent="0.25" r="197" customHeight="1" ht="17.25">
      <c r="A197" s="6">
        <v>45853</v>
      </c>
      <c r="B197" s="31">
        <f>TEXT(A197,"0")</f>
      </c>
      <c r="C197" s="31">
        <f>IF(OR(WEEKDAY(A197)=7,WEEKDAY(A197)=1),"WEEKEND","")</f>
      </c>
    </row>
    <row x14ac:dyDescent="0.25" r="198" customHeight="1" ht="17.25">
      <c r="A198" s="6">
        <v>45854</v>
      </c>
      <c r="B198" s="31">
        <f>TEXT(A198,"0")</f>
      </c>
      <c r="C198" s="31">
        <f>IF(OR(WEEKDAY(A198)=7,WEEKDAY(A198)=1),"WEEKEND","")</f>
      </c>
    </row>
    <row x14ac:dyDescent="0.25" r="199" customHeight="1" ht="17.25">
      <c r="A199" s="6">
        <v>45855</v>
      </c>
      <c r="B199" s="31">
        <f>TEXT(A199,"0")</f>
      </c>
      <c r="C199" s="31">
        <f>IF(OR(WEEKDAY(A199)=7,WEEKDAY(A199)=1),"WEEKEND","")</f>
      </c>
    </row>
    <row x14ac:dyDescent="0.25" r="200" customHeight="1" ht="17.25">
      <c r="A200" s="6">
        <v>45856</v>
      </c>
      <c r="B200" s="31">
        <f>TEXT(A200,"0")</f>
      </c>
      <c r="C200" s="31">
        <f>IF(OR(WEEKDAY(A200)=7,WEEKDAY(A200)=1),"WEEKEND","")</f>
      </c>
    </row>
    <row x14ac:dyDescent="0.25" r="201" customHeight="1" ht="17.25">
      <c r="A201" s="6">
        <v>45857</v>
      </c>
      <c r="B201" s="31">
        <f>TEXT(A201,"0")</f>
      </c>
      <c r="C201" s="34" t="s">
        <v>27</v>
      </c>
    </row>
    <row x14ac:dyDescent="0.25" r="202" customHeight="1" ht="17.25">
      <c r="A202" s="6">
        <v>45858</v>
      </c>
      <c r="B202" s="31">
        <f>TEXT(A202,"0")</f>
      </c>
      <c r="C202" s="31">
        <f>IF(OR(WEEKDAY(A202)=7,WEEKDAY(A202)=1),"WEEKEND","")</f>
      </c>
    </row>
    <row x14ac:dyDescent="0.25" r="203" customHeight="1" ht="17.25">
      <c r="A203" s="6">
        <v>45859</v>
      </c>
      <c r="B203" s="31">
        <f>TEXT(A203,"0")</f>
      </c>
      <c r="C203" s="31">
        <f>IF(OR(WEEKDAY(A203)=7,WEEKDAY(A203)=1),"WEEKEND","")</f>
      </c>
    </row>
    <row x14ac:dyDescent="0.25" r="204" customHeight="1" ht="17.25">
      <c r="A204" s="6">
        <v>45860</v>
      </c>
      <c r="B204" s="31">
        <f>TEXT(A204,"0")</f>
      </c>
      <c r="C204" s="31">
        <f>IF(OR(WEEKDAY(A204)=7,WEEKDAY(A204)=1),"WEEKEND","")</f>
      </c>
    </row>
    <row x14ac:dyDescent="0.25" r="205" customHeight="1" ht="17.25">
      <c r="A205" s="6">
        <v>45861</v>
      </c>
      <c r="B205" s="31">
        <f>TEXT(A205,"0")</f>
      </c>
      <c r="C205" s="31">
        <f>IF(OR(WEEKDAY(A205)=7,WEEKDAY(A205)=1),"WEEKEND","")</f>
      </c>
    </row>
    <row x14ac:dyDescent="0.25" r="206" customHeight="1" ht="17.25">
      <c r="A206" s="6">
        <v>45862</v>
      </c>
      <c r="B206" s="31">
        <f>TEXT(A206,"0")</f>
      </c>
      <c r="C206" s="31">
        <f>IF(OR(WEEKDAY(A206)=7,WEEKDAY(A206)=1),"WEEKEND","")</f>
      </c>
    </row>
    <row x14ac:dyDescent="0.25" r="207" customHeight="1" ht="17.25">
      <c r="A207" s="6">
        <v>45863</v>
      </c>
      <c r="B207" s="31">
        <f>TEXT(A207,"0")</f>
      </c>
      <c r="C207" s="31">
        <f>IF(OR(WEEKDAY(A207)=7,WEEKDAY(A207)=1),"WEEKEND","")</f>
      </c>
    </row>
    <row x14ac:dyDescent="0.25" r="208" customHeight="1" ht="17.25">
      <c r="A208" s="6">
        <v>45864</v>
      </c>
      <c r="B208" s="31">
        <f>TEXT(A208,"0")</f>
      </c>
      <c r="C208" s="31">
        <f>IF(OR(WEEKDAY(A208)=7,WEEKDAY(A208)=1),"WEEKEND","")</f>
      </c>
    </row>
    <row x14ac:dyDescent="0.25" r="209" customHeight="1" ht="17.25">
      <c r="A209" s="6">
        <v>45865</v>
      </c>
      <c r="B209" s="31">
        <f>TEXT(A209,"0")</f>
      </c>
      <c r="C209" s="31">
        <f>IF(OR(WEEKDAY(A209)=7,WEEKDAY(A209)=1),"WEEKEND","")</f>
      </c>
    </row>
    <row x14ac:dyDescent="0.25" r="210" customHeight="1" ht="17.25">
      <c r="A210" s="6">
        <v>45866</v>
      </c>
      <c r="B210" s="31">
        <f>TEXT(A210,"0")</f>
      </c>
      <c r="C210" s="31">
        <f>IF(OR(WEEKDAY(A210)=7,WEEKDAY(A210)=1),"WEEKEND","")</f>
      </c>
    </row>
    <row x14ac:dyDescent="0.25" r="211" customHeight="1" ht="17.25">
      <c r="A211" s="6">
        <v>45867</v>
      </c>
      <c r="B211" s="31">
        <f>TEXT(A211,"0")</f>
      </c>
      <c r="C211" s="31">
        <f>IF(OR(WEEKDAY(A211)=7,WEEKDAY(A211)=1),"WEEKEND","")</f>
      </c>
    </row>
    <row x14ac:dyDescent="0.25" r="212" customHeight="1" ht="17.25">
      <c r="A212" s="6">
        <v>45868</v>
      </c>
      <c r="B212" s="31">
        <f>TEXT(A212,"0")</f>
      </c>
      <c r="C212" s="31">
        <f>IF(OR(WEEKDAY(A212)=7,WEEKDAY(A212)=1),"WEEKEND","")</f>
      </c>
    </row>
    <row x14ac:dyDescent="0.25" r="213" customHeight="1" ht="17.25">
      <c r="A213" s="6">
        <v>45869</v>
      </c>
      <c r="B213" s="31">
        <f>TEXT(A213,"0")</f>
      </c>
      <c r="C213" s="31">
        <f>IF(OR(WEEKDAY(A213)=7,WEEKDAY(A213)=1),"WEEKEND","")</f>
      </c>
    </row>
    <row x14ac:dyDescent="0.25" r="214" customHeight="1" ht="17.25">
      <c r="A214" s="6">
        <v>45870</v>
      </c>
      <c r="B214" s="31">
        <f>TEXT(A214,"0")</f>
      </c>
      <c r="C214" s="31">
        <f>IF(OR(WEEKDAY(A214)=7,WEEKDAY(A214)=1),"WEEKEND","")</f>
      </c>
    </row>
    <row x14ac:dyDescent="0.25" r="215" customHeight="1" ht="17.25">
      <c r="A215" s="6">
        <v>45871</v>
      </c>
      <c r="B215" s="31">
        <f>TEXT(A215,"0")</f>
      </c>
      <c r="C215" s="31">
        <f>IF(OR(WEEKDAY(A215)=7,WEEKDAY(A215)=1),"WEEKEND","")</f>
      </c>
    </row>
    <row x14ac:dyDescent="0.25" r="216" customHeight="1" ht="17.25">
      <c r="A216" s="6">
        <v>45872</v>
      </c>
      <c r="B216" s="31">
        <f>TEXT(A216,"0")</f>
      </c>
      <c r="C216" s="31">
        <f>IF(OR(WEEKDAY(A216)=7,WEEKDAY(A216)=1),"WEEKEND","")</f>
      </c>
    </row>
    <row x14ac:dyDescent="0.25" r="217" customHeight="1" ht="17.25">
      <c r="A217" s="6">
        <v>45873</v>
      </c>
      <c r="B217" s="31">
        <f>TEXT(A217,"0")</f>
      </c>
      <c r="C217" s="31">
        <f>IF(OR(WEEKDAY(A217)=7,WEEKDAY(A217)=1),"WEEKEND","")</f>
      </c>
    </row>
    <row x14ac:dyDescent="0.25" r="218" customHeight="1" ht="17.25">
      <c r="A218" s="6">
        <v>45874</v>
      </c>
      <c r="B218" s="31">
        <f>TEXT(A218,"0")</f>
      </c>
      <c r="C218" s="31">
        <f>IF(OR(WEEKDAY(A218)=7,WEEKDAY(A218)=1),"WEEKEND","")</f>
      </c>
    </row>
    <row x14ac:dyDescent="0.25" r="219" customHeight="1" ht="17.25">
      <c r="A219" s="6">
        <v>45875</v>
      </c>
      <c r="B219" s="31">
        <f>TEXT(A219,"0")</f>
      </c>
      <c r="C219" s="31">
        <f>IF(OR(WEEKDAY(A219)=7,WEEKDAY(A219)=1),"WEEKEND","")</f>
      </c>
    </row>
    <row x14ac:dyDescent="0.25" r="220" customHeight="1" ht="17.25">
      <c r="A220" s="6">
        <v>45876</v>
      </c>
      <c r="B220" s="31">
        <f>TEXT(A220,"0")</f>
      </c>
      <c r="C220" s="31">
        <f>IF(OR(WEEKDAY(A220)=7,WEEKDAY(A220)=1),"WEEKEND","")</f>
      </c>
    </row>
    <row x14ac:dyDescent="0.25" r="221" customHeight="1" ht="17.25">
      <c r="A221" s="6">
        <v>45877</v>
      </c>
      <c r="B221" s="31">
        <f>TEXT(A221,"0")</f>
      </c>
      <c r="C221" s="31">
        <f>IF(OR(WEEKDAY(A221)=7,WEEKDAY(A221)=1),"WEEKEND","")</f>
      </c>
    </row>
    <row x14ac:dyDescent="0.25" r="222" customHeight="1" ht="17.25">
      <c r="A222" s="6">
        <v>45878</v>
      </c>
      <c r="B222" s="31">
        <f>TEXT(A222,"0")</f>
      </c>
      <c r="C222" s="31">
        <f>IF(OR(WEEKDAY(A222)=7,WEEKDAY(A222)=1),"WEEKEND","")</f>
      </c>
    </row>
    <row x14ac:dyDescent="0.25" r="223" customHeight="1" ht="17.25">
      <c r="A223" s="6">
        <v>45879</v>
      </c>
      <c r="B223" s="31">
        <f>TEXT(A223,"0")</f>
      </c>
      <c r="C223" s="31">
        <f>IF(OR(WEEKDAY(A223)=7,WEEKDAY(A223)=1),"WEEKEND","")</f>
      </c>
    </row>
    <row x14ac:dyDescent="0.25" r="224" customHeight="1" ht="17.25">
      <c r="A224" s="6">
        <v>45880</v>
      </c>
      <c r="B224" s="31">
        <f>TEXT(A224,"0")</f>
      </c>
      <c r="C224" s="31">
        <f>IF(OR(WEEKDAY(A224)=7,WEEKDAY(A224)=1),"WEEKEND","")</f>
      </c>
    </row>
    <row x14ac:dyDescent="0.25" r="225" customHeight="1" ht="17.25">
      <c r="A225" s="6">
        <v>45881</v>
      </c>
      <c r="B225" s="31">
        <f>TEXT(A225,"0")</f>
      </c>
      <c r="C225" s="31">
        <f>IF(OR(WEEKDAY(A225)=7,WEEKDAY(A225)=1),"WEEKEND","")</f>
      </c>
    </row>
    <row x14ac:dyDescent="0.25" r="226" customHeight="1" ht="17.25">
      <c r="A226" s="6">
        <v>45882</v>
      </c>
      <c r="B226" s="31">
        <f>TEXT(A226,"0")</f>
      </c>
      <c r="C226" s="31">
        <f>IF(OR(WEEKDAY(A226)=7,WEEKDAY(A226)=1),"WEEKEND","")</f>
      </c>
    </row>
    <row x14ac:dyDescent="0.25" r="227" customHeight="1" ht="17.25">
      <c r="A227" s="6">
        <v>45883</v>
      </c>
      <c r="B227" s="31">
        <f>TEXT(A227,"0")</f>
      </c>
      <c r="C227" s="31">
        <f>IF(OR(WEEKDAY(A227)=7,WEEKDAY(A227)=1),"WEEKEND","")</f>
      </c>
    </row>
    <row x14ac:dyDescent="0.25" r="228" customHeight="1" ht="17.25">
      <c r="A228" s="6">
        <v>45884</v>
      </c>
      <c r="B228" s="31">
        <f>TEXT(A228,"0")</f>
      </c>
      <c r="C228" s="21" t="s">
        <v>28</v>
      </c>
    </row>
    <row x14ac:dyDescent="0.25" r="229" customHeight="1" ht="17.25">
      <c r="A229" s="6">
        <v>45885</v>
      </c>
      <c r="B229" s="31">
        <f>TEXT(A229,"0")</f>
      </c>
      <c r="C229" s="31">
        <f>IF(OR(WEEKDAY(A229)=7,WEEKDAY(A229)=1),"WEEKEND","")</f>
      </c>
    </row>
    <row x14ac:dyDescent="0.25" r="230" customHeight="1" ht="17.25">
      <c r="A230" s="6">
        <v>45886</v>
      </c>
      <c r="B230" s="31">
        <f>TEXT(A230,"0")</f>
      </c>
      <c r="C230" s="31">
        <f>IF(OR(WEEKDAY(A230)=7,WEEKDAY(A230)=1),"WEEKEND","")</f>
      </c>
    </row>
    <row x14ac:dyDescent="0.25" r="231" customHeight="1" ht="17.25">
      <c r="A231" s="6">
        <v>45887</v>
      </c>
      <c r="B231" s="31">
        <f>TEXT(A231,"0")</f>
      </c>
      <c r="C231" s="31">
        <f>IF(OR(WEEKDAY(A231)=7,WEEKDAY(A231)=1),"WEEKEND","")</f>
      </c>
    </row>
    <row x14ac:dyDescent="0.25" r="232" customHeight="1" ht="17.25">
      <c r="A232" s="6">
        <v>45888</v>
      </c>
      <c r="B232" s="31">
        <f>TEXT(A232,"0")</f>
      </c>
      <c r="C232" s="31">
        <f>IF(OR(WEEKDAY(A232)=7,WEEKDAY(A232)=1),"WEEKEND","")</f>
      </c>
    </row>
    <row x14ac:dyDescent="0.25" r="233" customHeight="1" ht="17.25">
      <c r="A233" s="6">
        <v>45889</v>
      </c>
      <c r="B233" s="31">
        <f>TEXT(A233,"0")</f>
      </c>
      <c r="C233" s="31">
        <f>IF(OR(WEEKDAY(A233)=7,WEEKDAY(A233)=1),"WEEKEND","")</f>
      </c>
    </row>
    <row x14ac:dyDescent="0.25" r="234" customHeight="1" ht="17.25">
      <c r="A234" s="6">
        <v>45890</v>
      </c>
      <c r="B234" s="31">
        <f>TEXT(A234,"0")</f>
      </c>
      <c r="C234" s="31">
        <f>IF(OR(WEEKDAY(A234)=7,WEEKDAY(A234)=1),"WEEKEND","")</f>
      </c>
    </row>
    <row x14ac:dyDescent="0.25" r="235" customHeight="1" ht="17.25">
      <c r="A235" s="6">
        <v>45891</v>
      </c>
      <c r="B235" s="31">
        <f>TEXT(A235,"0")</f>
      </c>
      <c r="C235" s="31">
        <f>IF(OR(WEEKDAY(A235)=7,WEEKDAY(A235)=1),"WEEKEND","")</f>
      </c>
    </row>
    <row x14ac:dyDescent="0.25" r="236" customHeight="1" ht="17.25">
      <c r="A236" s="6">
        <v>45892</v>
      </c>
      <c r="B236" s="31">
        <f>TEXT(A236,"0")</f>
      </c>
      <c r="C236" s="31">
        <f>IF(OR(WEEKDAY(A236)=7,WEEKDAY(A236)=1),"WEEKEND","")</f>
      </c>
    </row>
    <row x14ac:dyDescent="0.25" r="237" customHeight="1" ht="17.25">
      <c r="A237" s="6">
        <v>45893</v>
      </c>
      <c r="B237" s="31">
        <f>TEXT(A237,"0")</f>
      </c>
      <c r="C237" s="31">
        <f>IF(OR(WEEKDAY(A237)=7,WEEKDAY(A237)=1),"WEEKEND","")</f>
      </c>
    </row>
    <row x14ac:dyDescent="0.25" r="238" customHeight="1" ht="17.25">
      <c r="A238" s="6">
        <v>45894</v>
      </c>
      <c r="B238" s="31">
        <f>TEXT(A238,"0")</f>
      </c>
      <c r="C238" s="31">
        <f>IF(OR(WEEKDAY(A238)=7,WEEKDAY(A238)=1),"WEEKEND","")</f>
      </c>
    </row>
    <row x14ac:dyDescent="0.25" r="239" customHeight="1" ht="17.25">
      <c r="A239" s="6">
        <v>45895</v>
      </c>
      <c r="B239" s="31">
        <f>TEXT(A239,"0")</f>
      </c>
      <c r="C239" s="31">
        <f>IF(OR(WEEKDAY(A239)=7,WEEKDAY(A239)=1),"WEEKEND","")</f>
      </c>
    </row>
    <row x14ac:dyDescent="0.25" r="240" customHeight="1" ht="17.25">
      <c r="A240" s="6">
        <v>45896</v>
      </c>
      <c r="B240" s="31">
        <f>TEXT(A240,"0")</f>
      </c>
      <c r="C240" s="31">
        <f>IF(OR(WEEKDAY(A240)=7,WEEKDAY(A240)=1),"WEEKEND","")</f>
      </c>
    </row>
    <row x14ac:dyDescent="0.25" r="241" customHeight="1" ht="17.25">
      <c r="A241" s="6">
        <v>45897</v>
      </c>
      <c r="B241" s="31">
        <f>TEXT(A241,"0")</f>
      </c>
      <c r="C241" s="31">
        <f>IF(OR(WEEKDAY(A241)=7,WEEKDAY(A241)=1),"WEEKEND","")</f>
      </c>
    </row>
    <row x14ac:dyDescent="0.25" r="242" customHeight="1" ht="17.25">
      <c r="A242" s="6">
        <v>45898</v>
      </c>
      <c r="B242" s="31">
        <f>TEXT(A242,"0")</f>
      </c>
      <c r="C242" s="31">
        <f>IF(OR(WEEKDAY(A242)=7,WEEKDAY(A242)=1),"WEEKEND","")</f>
      </c>
    </row>
    <row x14ac:dyDescent="0.25" r="243" customHeight="1" ht="17.25">
      <c r="A243" s="6">
        <v>45899</v>
      </c>
      <c r="B243" s="31">
        <f>TEXT(A243,"0")</f>
      </c>
      <c r="C243" s="31">
        <f>IF(OR(WEEKDAY(A243)=7,WEEKDAY(A243)=1),"WEEKEND","")</f>
      </c>
    </row>
    <row x14ac:dyDescent="0.25" r="244" customHeight="1" ht="17.25">
      <c r="A244" s="6">
        <v>45900</v>
      </c>
      <c r="B244" s="31">
        <f>TEXT(A244,"0")</f>
      </c>
      <c r="C244" s="31">
        <f>IF(OR(WEEKDAY(A244)=7,WEEKDAY(A244)=1),"WEEKEND","")</f>
      </c>
    </row>
    <row x14ac:dyDescent="0.25" r="245" customHeight="1" ht="17.25">
      <c r="A245" s="6">
        <v>45901</v>
      </c>
      <c r="B245" s="31">
        <f>TEXT(A245,"0")</f>
      </c>
      <c r="C245" s="31">
        <f>IF(OR(WEEKDAY(A245)=7,WEEKDAY(A245)=1),"WEEKEND","")</f>
      </c>
    </row>
    <row x14ac:dyDescent="0.25" r="246" customHeight="1" ht="17.25">
      <c r="A246" s="6">
        <v>45902</v>
      </c>
      <c r="B246" s="31">
        <f>TEXT(A246,"0")</f>
      </c>
      <c r="C246" s="31">
        <f>IF(OR(WEEKDAY(A246)=7,WEEKDAY(A246)=1),"WEEKEND","")</f>
      </c>
    </row>
    <row x14ac:dyDescent="0.25" r="247" customHeight="1" ht="17.25">
      <c r="A247" s="6">
        <v>45903</v>
      </c>
      <c r="B247" s="31">
        <f>TEXT(A247,"0")</f>
      </c>
      <c r="C247" s="31">
        <f>IF(OR(WEEKDAY(A247)=7,WEEKDAY(A247)=1),"WEEKEND","")</f>
      </c>
    </row>
    <row x14ac:dyDescent="0.25" r="248" customHeight="1" ht="17.25">
      <c r="A248" s="6">
        <v>45904</v>
      </c>
      <c r="B248" s="31">
        <f>TEXT(A248,"0")</f>
      </c>
      <c r="C248" s="31">
        <f>IF(OR(WEEKDAY(A248)=7,WEEKDAY(A248)=1),"WEEKEND","")</f>
      </c>
    </row>
    <row x14ac:dyDescent="0.25" r="249" customHeight="1" ht="17.25">
      <c r="A249" s="6">
        <v>45905</v>
      </c>
      <c r="B249" s="31">
        <f>TEXT(A249,"0")</f>
      </c>
      <c r="C249" s="31">
        <f>IF(OR(WEEKDAY(A249)=7,WEEKDAY(A249)=1),"WEEKEND","")</f>
      </c>
    </row>
    <row x14ac:dyDescent="0.25" r="250" customHeight="1" ht="17.25">
      <c r="A250" s="6">
        <v>45906</v>
      </c>
      <c r="B250" s="31">
        <f>TEXT(A250,"0")</f>
      </c>
      <c r="C250" s="31">
        <f>IF(OR(WEEKDAY(A250)=7,WEEKDAY(A250)=1),"WEEKEND","")</f>
      </c>
    </row>
    <row x14ac:dyDescent="0.25" r="251" customHeight="1" ht="17.25">
      <c r="A251" s="6">
        <v>45907</v>
      </c>
      <c r="B251" s="31">
        <f>TEXT(A251,"0")</f>
      </c>
      <c r="C251" s="31">
        <f>IF(OR(WEEKDAY(A251)=7,WEEKDAY(A251)=1),"WEEKEND","")</f>
      </c>
    </row>
    <row x14ac:dyDescent="0.25" r="252" customHeight="1" ht="17.25">
      <c r="A252" s="6">
        <v>45908</v>
      </c>
      <c r="B252" s="31">
        <f>TEXT(A252,"0")</f>
      </c>
      <c r="C252" s="31">
        <f>IF(OR(WEEKDAY(A252)=7,WEEKDAY(A252)=1),"WEEKEND","")</f>
      </c>
    </row>
    <row x14ac:dyDescent="0.25" r="253" customHeight="1" ht="17.25">
      <c r="A253" s="6">
        <v>45909</v>
      </c>
      <c r="B253" s="31">
        <f>TEXT(A253,"0")</f>
      </c>
      <c r="C253" s="31">
        <f>IF(OR(WEEKDAY(A253)=7,WEEKDAY(A253)=1),"WEEKEND","")</f>
      </c>
    </row>
    <row x14ac:dyDescent="0.25" r="254" customHeight="1" ht="17.25">
      <c r="A254" s="6">
        <v>45910</v>
      </c>
      <c r="B254" s="31">
        <f>TEXT(A254,"0")</f>
      </c>
      <c r="C254" s="31">
        <f>IF(OR(WEEKDAY(A254)=7,WEEKDAY(A254)=1),"WEEKEND","")</f>
      </c>
    </row>
    <row x14ac:dyDescent="0.25" r="255" customHeight="1" ht="17.25">
      <c r="A255" s="6">
        <v>45911</v>
      </c>
      <c r="B255" s="31">
        <f>TEXT(A255,"0")</f>
      </c>
      <c r="C255" s="32" t="s">
        <v>29</v>
      </c>
    </row>
    <row x14ac:dyDescent="0.25" r="256" customHeight="1" ht="17.25">
      <c r="A256" s="6">
        <v>45912</v>
      </c>
      <c r="B256" s="31">
        <f>TEXT(A256,"0")</f>
      </c>
      <c r="C256" s="32" t="s">
        <v>30</v>
      </c>
    </row>
    <row x14ac:dyDescent="0.25" r="257" customHeight="1" ht="17.25">
      <c r="A257" s="6">
        <v>45913</v>
      </c>
      <c r="B257" s="31">
        <f>TEXT(A257,"0")</f>
      </c>
      <c r="C257" s="31">
        <f>IF(OR(WEEKDAY(A257)=7,WEEKDAY(A257)=1),"WEEKEND","")</f>
      </c>
    </row>
    <row x14ac:dyDescent="0.25" r="258" customHeight="1" ht="17.25">
      <c r="A258" s="6">
        <v>45914</v>
      </c>
      <c r="B258" s="31">
        <f>TEXT(A258,"0")</f>
      </c>
      <c r="C258" s="31">
        <f>IF(OR(WEEKDAY(A258)=7,WEEKDAY(A258)=1),"WEEKEND","")</f>
      </c>
    </row>
    <row x14ac:dyDescent="0.25" r="259" customHeight="1" ht="17.25">
      <c r="A259" s="6">
        <v>45915</v>
      </c>
      <c r="B259" s="31">
        <f>TEXT(A259,"0")</f>
      </c>
      <c r="C259" s="31">
        <f>IF(OR(WEEKDAY(A259)=7,WEEKDAY(A259)=1),"WEEKEND","")</f>
      </c>
    </row>
    <row x14ac:dyDescent="0.25" r="260" customHeight="1" ht="17.25">
      <c r="A260" s="6">
        <v>45916</v>
      </c>
      <c r="B260" s="31">
        <f>TEXT(A260,"0")</f>
      </c>
      <c r="C260" s="31">
        <f>IF(OR(WEEKDAY(A260)=7,WEEKDAY(A260)=1),"WEEKEND","")</f>
      </c>
    </row>
    <row x14ac:dyDescent="0.25" r="261" customHeight="1" ht="17.25">
      <c r="A261" s="6">
        <v>45917</v>
      </c>
      <c r="B261" s="31">
        <f>TEXT(A261,"0")</f>
      </c>
      <c r="C261" s="31">
        <f>IF(OR(WEEKDAY(A261)=7,WEEKDAY(A261)=1),"WEEKEND","")</f>
      </c>
    </row>
    <row x14ac:dyDescent="0.25" r="262" customHeight="1" ht="17.25">
      <c r="A262" s="6">
        <v>45918</v>
      </c>
      <c r="B262" s="21"/>
      <c r="C262" s="31">
        <f>IF(OR(WEEKDAY(A262)=7,WEEKDAY(A262)=1),"WEEKEND","")</f>
      </c>
    </row>
    <row x14ac:dyDescent="0.25" r="263" customHeight="1" ht="17.25">
      <c r="A263" s="6">
        <v>45919</v>
      </c>
      <c r="B263" s="21"/>
      <c r="C263" s="31">
        <f>IF(OR(WEEKDAY(A263)=7,WEEKDAY(A263)=1),"WEEKEND","")</f>
      </c>
    </row>
    <row x14ac:dyDescent="0.25" r="264" customHeight="1" ht="17.25">
      <c r="A264" s="6">
        <v>45920</v>
      </c>
      <c r="B264" s="21"/>
      <c r="C264" s="31">
        <f>IF(OR(WEEKDAY(A264)=7,WEEKDAY(A264)=1),"WEEKEND","")</f>
      </c>
    </row>
    <row x14ac:dyDescent="0.25" r="265" customHeight="1" ht="17.25">
      <c r="A265" s="6">
        <v>45921</v>
      </c>
      <c r="B265" s="21"/>
      <c r="C265" s="31">
        <f>IF(OR(WEEKDAY(A265)=7,WEEKDAY(A265)=1),"WEEKEND","")</f>
      </c>
    </row>
    <row x14ac:dyDescent="0.25" r="266" customHeight="1" ht="17.25">
      <c r="A266" s="6">
        <v>45922</v>
      </c>
      <c r="B266" s="21"/>
      <c r="C266" s="31">
        <f>IF(OR(WEEKDAY(A266)=7,WEEKDAY(A266)=1),"WEEKEND","")</f>
      </c>
    </row>
    <row x14ac:dyDescent="0.25" r="267" customHeight="1" ht="17.25">
      <c r="A267" s="6">
        <v>45923</v>
      </c>
      <c r="B267" s="21"/>
      <c r="C267" s="31">
        <f>IF(OR(WEEKDAY(A267)=7,WEEKDAY(A267)=1),"WEEKEND","")</f>
      </c>
    </row>
    <row x14ac:dyDescent="0.25" r="268" customHeight="1" ht="17.25">
      <c r="A268" s="6">
        <v>45924</v>
      </c>
      <c r="B268" s="21"/>
      <c r="C268" s="31">
        <f>IF(OR(WEEKDAY(A268)=7,WEEKDAY(A268)=1),"WEEKEND","")</f>
      </c>
    </row>
    <row x14ac:dyDescent="0.25" r="269" customHeight="1" ht="17.25">
      <c r="A269" s="6">
        <v>45925</v>
      </c>
      <c r="B269" s="21"/>
      <c r="C269" s="31">
        <f>IF(OR(WEEKDAY(A269)=7,WEEKDAY(A269)=1),"WEEKEND","")</f>
      </c>
    </row>
    <row x14ac:dyDescent="0.25" r="270" customHeight="1" ht="17.25">
      <c r="A270" s="6">
        <v>45926</v>
      </c>
      <c r="B270" s="21"/>
      <c r="C270" s="31">
        <f>IF(OR(WEEKDAY(A270)=7,WEEKDAY(A270)=1),"WEEKEND","")</f>
      </c>
    </row>
    <row x14ac:dyDescent="0.25" r="271" customHeight="1" ht="17.25">
      <c r="A271" s="6">
        <v>45927</v>
      </c>
      <c r="B271" s="21"/>
      <c r="C271" s="31">
        <f>IF(OR(WEEKDAY(A271)=7,WEEKDAY(A271)=1),"WEEKEND","")</f>
      </c>
    </row>
    <row x14ac:dyDescent="0.25" r="272" customHeight="1" ht="17.25">
      <c r="A272" s="6">
        <v>45928</v>
      </c>
      <c r="B272" s="21"/>
      <c r="C272" s="31">
        <f>IF(OR(WEEKDAY(A272)=7,WEEKDAY(A272)=1),"WEEKEND","")</f>
      </c>
    </row>
    <row x14ac:dyDescent="0.25" r="273" customHeight="1" ht="17.25">
      <c r="A273" s="6">
        <v>45929</v>
      </c>
      <c r="B273" s="21"/>
      <c r="C273" s="31">
        <f>IF(OR(WEEKDAY(A273)=7,WEEKDAY(A273)=1),"WEEKEND","")</f>
      </c>
    </row>
    <row x14ac:dyDescent="0.25" r="274" customHeight="1" ht="17.25">
      <c r="A274" s="6">
        <v>45930</v>
      </c>
      <c r="B274" s="21"/>
      <c r="C274" s="31">
        <f>IF(OR(WEEKDAY(A274)=7,WEEKDAY(A274)=1),"WEEKEND","")</f>
      </c>
    </row>
    <row x14ac:dyDescent="0.25" r="275" customHeight="1" ht="17.25">
      <c r="A275" s="6">
        <v>45931</v>
      </c>
      <c r="B275" s="21"/>
      <c r="C275" s="31">
        <f>IF(OR(WEEKDAY(A275)=7,WEEKDAY(A275)=1),"WEEKEND","")</f>
      </c>
    </row>
    <row x14ac:dyDescent="0.25" r="276" customHeight="1" ht="17.25">
      <c r="A276" s="6">
        <v>45932</v>
      </c>
      <c r="B276" s="21"/>
      <c r="C276" s="31">
        <f>IF(OR(WEEKDAY(A276)=7,WEEKDAY(A276)=1),"WEEKEND","")</f>
      </c>
    </row>
    <row x14ac:dyDescent="0.25" r="277" customHeight="1" ht="17.25">
      <c r="A277" s="6">
        <v>45933</v>
      </c>
      <c r="B277" s="21"/>
      <c r="C277" s="31">
        <f>IF(OR(WEEKDAY(A277)=7,WEEKDAY(A277)=1),"WEEKEND","")</f>
      </c>
    </row>
    <row x14ac:dyDescent="0.25" r="278" customHeight="1" ht="17.25">
      <c r="A278" s="6">
        <v>45934</v>
      </c>
      <c r="B278" s="21"/>
      <c r="C278" s="31">
        <f>IF(OR(WEEKDAY(A278)=7,WEEKDAY(A278)=1),"WEEKEND","")</f>
      </c>
    </row>
    <row x14ac:dyDescent="0.25" r="279" customHeight="1" ht="17.25">
      <c r="A279" s="6">
        <v>45935</v>
      </c>
      <c r="B279" s="21"/>
      <c r="C279" s="31">
        <f>IF(OR(WEEKDAY(A279)=7,WEEKDAY(A279)=1),"WEEKEND","")</f>
      </c>
    </row>
    <row x14ac:dyDescent="0.25" r="280" customHeight="1" ht="17.25">
      <c r="A280" s="6">
        <v>45936</v>
      </c>
      <c r="B280" s="21"/>
      <c r="C280" s="31">
        <f>IF(OR(WEEKDAY(A280)=7,WEEKDAY(A280)=1),"WEEKEND","")</f>
      </c>
    </row>
    <row x14ac:dyDescent="0.25" r="281" customHeight="1" ht="17.25">
      <c r="A281" s="6">
        <v>45937</v>
      </c>
      <c r="B281" s="21"/>
      <c r="C281" s="31">
        <f>IF(OR(WEEKDAY(A281)=7,WEEKDAY(A281)=1),"WEEKEND","")</f>
      </c>
    </row>
    <row x14ac:dyDescent="0.25" r="282" customHeight="1" ht="17.25">
      <c r="A282" s="6">
        <v>45938</v>
      </c>
      <c r="B282" s="21"/>
      <c r="C282" s="31">
        <f>IF(OR(WEEKDAY(A282)=7,WEEKDAY(A282)=1),"WEEKEND","")</f>
      </c>
    </row>
    <row x14ac:dyDescent="0.25" r="283" customHeight="1" ht="17.25">
      <c r="A283" s="6">
        <v>45939</v>
      </c>
      <c r="B283" s="21"/>
      <c r="C283" s="31">
        <f>IF(OR(WEEKDAY(A283)=7,WEEKDAY(A283)=1),"WEEKEND","")</f>
      </c>
    </row>
    <row x14ac:dyDescent="0.25" r="284" customHeight="1" ht="17.25">
      <c r="A284" s="6">
        <v>45940</v>
      </c>
      <c r="B284" s="21"/>
      <c r="C284" s="31">
        <f>IF(OR(WEEKDAY(A284)=7,WEEKDAY(A284)=1),"WEEKEND","")</f>
      </c>
    </row>
    <row x14ac:dyDescent="0.25" r="285" customHeight="1" ht="17.25">
      <c r="A285" s="6">
        <v>45941</v>
      </c>
      <c r="B285" s="21"/>
      <c r="C285" s="31">
        <f>IF(OR(WEEKDAY(A285)=7,WEEKDAY(A285)=1),"WEEKEND","")</f>
      </c>
    </row>
    <row x14ac:dyDescent="0.25" r="286" customHeight="1" ht="17.25">
      <c r="A286" s="6">
        <v>45942</v>
      </c>
      <c r="B286" s="21"/>
      <c r="C286" s="31">
        <f>IF(OR(WEEKDAY(A286)=7,WEEKDAY(A286)=1),"WEEKEND","")</f>
      </c>
    </row>
    <row x14ac:dyDescent="0.25" r="287" customHeight="1" ht="17.25">
      <c r="A287" s="6">
        <v>45943</v>
      </c>
      <c r="B287" s="21"/>
      <c r="C287" s="31">
        <f>IF(OR(WEEKDAY(A287)=7,WEEKDAY(A287)=1),"WEEKEND","")</f>
      </c>
    </row>
    <row x14ac:dyDescent="0.25" r="288" customHeight="1" ht="17.25">
      <c r="A288" s="6">
        <v>45944</v>
      </c>
      <c r="B288" s="21"/>
      <c r="C288" s="31">
        <f>IF(OR(WEEKDAY(A288)=7,WEEKDAY(A288)=1),"WEEKEND","")</f>
      </c>
    </row>
    <row x14ac:dyDescent="0.25" r="289" customHeight="1" ht="17.25">
      <c r="A289" s="6">
        <v>45945</v>
      </c>
      <c r="B289" s="21"/>
      <c r="C289" s="31">
        <f>IF(OR(WEEKDAY(A289)=7,WEEKDAY(A289)=1),"WEEKEND","")</f>
      </c>
    </row>
    <row x14ac:dyDescent="0.25" r="290" customHeight="1" ht="17.25">
      <c r="A290" s="6">
        <v>45946</v>
      </c>
      <c r="B290" s="21"/>
      <c r="C290" s="31">
        <f>IF(OR(WEEKDAY(A290)=7,WEEKDAY(A290)=1),"WEEKEND","")</f>
      </c>
    </row>
    <row x14ac:dyDescent="0.25" r="291" customHeight="1" ht="17.25">
      <c r="A291" s="6">
        <v>45947</v>
      </c>
      <c r="B291" s="21"/>
      <c r="C291" s="31">
        <f>IF(OR(WEEKDAY(A291)=7,WEEKDAY(A291)=1),"WEEKEND","")</f>
      </c>
    </row>
    <row x14ac:dyDescent="0.25" r="292" customHeight="1" ht="17.25">
      <c r="A292" s="6">
        <v>45948</v>
      </c>
      <c r="B292" s="21"/>
      <c r="C292" s="31">
        <f>IF(OR(WEEKDAY(A292)=7,WEEKDAY(A292)=1),"WEEKEND","")</f>
      </c>
    </row>
    <row x14ac:dyDescent="0.25" r="293" customHeight="1" ht="17.25">
      <c r="A293" s="6">
        <v>45949</v>
      </c>
      <c r="B293" s="21"/>
      <c r="C293" s="31">
        <f>IF(OR(WEEKDAY(A293)=7,WEEKDAY(A293)=1),"WEEKEND","")</f>
      </c>
    </row>
    <row x14ac:dyDescent="0.25" r="294" customHeight="1" ht="17.25">
      <c r="A294" s="6">
        <v>45950</v>
      </c>
      <c r="B294" s="21"/>
      <c r="C294" s="31">
        <f>IF(OR(WEEKDAY(A294)=7,WEEKDAY(A294)=1),"WEEKEND","")</f>
      </c>
    </row>
    <row x14ac:dyDescent="0.25" r="295" customHeight="1" ht="17.25">
      <c r="A295" s="6">
        <v>45951</v>
      </c>
      <c r="B295" s="21"/>
      <c r="C295" s="31">
        <f>IF(OR(WEEKDAY(A295)=7,WEEKDAY(A295)=1),"WEEKEND","")</f>
      </c>
    </row>
    <row x14ac:dyDescent="0.25" r="296" customHeight="1" ht="17.25">
      <c r="A296" s="6">
        <v>45952</v>
      </c>
      <c r="B296" s="21"/>
      <c r="C296" s="31">
        <f>IF(OR(WEEKDAY(A296)=7,WEEKDAY(A296)=1),"WEEKEND","")</f>
      </c>
    </row>
    <row x14ac:dyDescent="0.25" r="297" customHeight="1" ht="17.25">
      <c r="A297" s="6">
        <v>45953</v>
      </c>
      <c r="B297" s="21"/>
      <c r="C297" s="31">
        <f>IF(OR(WEEKDAY(A297)=7,WEEKDAY(A297)=1),"WEEKEND","")</f>
      </c>
    </row>
    <row x14ac:dyDescent="0.25" r="298" customHeight="1" ht="17.25">
      <c r="A298" s="6">
        <v>45954</v>
      </c>
      <c r="B298" s="21"/>
      <c r="C298" s="31">
        <f>IF(OR(WEEKDAY(A298)=7,WEEKDAY(A298)=1),"WEEKEND","")</f>
      </c>
    </row>
    <row x14ac:dyDescent="0.25" r="299" customHeight="1" ht="17.25">
      <c r="A299" s="6">
        <v>45955</v>
      </c>
      <c r="B299" s="21"/>
      <c r="C299" s="31">
        <f>IF(OR(WEEKDAY(A299)=7,WEEKDAY(A299)=1),"WEEKEND","")</f>
      </c>
    </row>
    <row x14ac:dyDescent="0.25" r="300" customHeight="1" ht="17.25">
      <c r="A300" s="6">
        <v>45956</v>
      </c>
      <c r="B300" s="21"/>
      <c r="C300" s="21" t="s">
        <v>31</v>
      </c>
    </row>
    <row x14ac:dyDescent="0.25" r="301" customHeight="1" ht="17.25">
      <c r="A301" s="6">
        <v>45957</v>
      </c>
      <c r="B301" s="21"/>
      <c r="C301" s="31">
        <f>IF(OR(WEEKDAY(A301)=7,WEEKDAY(A301)=1),"WEEKEND","")</f>
      </c>
    </row>
    <row x14ac:dyDescent="0.25" r="302" customHeight="1" ht="17.25">
      <c r="A302" s="6">
        <v>45958</v>
      </c>
      <c r="B302" s="21"/>
      <c r="C302" s="31">
        <f>IF(OR(WEEKDAY(A302)=7,WEEKDAY(A302)=1),"WEEKEND","")</f>
      </c>
    </row>
    <row x14ac:dyDescent="0.25" r="303" customHeight="1" ht="17.25">
      <c r="A303" s="6">
        <v>45959</v>
      </c>
      <c r="B303" s="21"/>
      <c r="C303" s="31">
        <f>IF(OR(WEEKDAY(A303)=7,WEEKDAY(A303)=1),"WEEKEND","")</f>
      </c>
    </row>
    <row x14ac:dyDescent="0.25" r="304" customHeight="1" ht="17.25">
      <c r="A304" s="6">
        <v>45960</v>
      </c>
      <c r="B304" s="21"/>
      <c r="C304" s="31">
        <f>IF(OR(WEEKDAY(A304)=7,WEEKDAY(A304)=1),"WEEKEND","")</f>
      </c>
    </row>
    <row x14ac:dyDescent="0.25" r="305" customHeight="1" ht="17.25">
      <c r="A305" s="6">
        <v>45961</v>
      </c>
      <c r="B305" s="21"/>
      <c r="C305" s="31">
        <f>IF(OR(WEEKDAY(A305)=7,WEEKDAY(A305)=1),"WEEKEND","")</f>
      </c>
    </row>
    <row x14ac:dyDescent="0.25" r="306" customHeight="1" ht="17.25">
      <c r="A306" s="6">
        <v>45962</v>
      </c>
      <c r="B306" s="21"/>
      <c r="C306" s="21" t="s">
        <v>32</v>
      </c>
    </row>
    <row x14ac:dyDescent="0.25" r="307" customHeight="1" ht="17.25">
      <c r="A307" s="6">
        <v>45963</v>
      </c>
      <c r="B307" s="21"/>
      <c r="C307" s="31">
        <f>IF(OR(WEEKDAY(A307)=7,WEEKDAY(A307)=1),"WEEKEND","")</f>
      </c>
    </row>
    <row x14ac:dyDescent="0.25" r="308" customHeight="1" ht="17.25">
      <c r="A308" s="6">
        <v>45964</v>
      </c>
      <c r="B308" s="21"/>
      <c r="C308" s="31">
        <f>IF(OR(WEEKDAY(A308)=7,WEEKDAY(A308)=1),"WEEKEND","")</f>
      </c>
    </row>
    <row x14ac:dyDescent="0.25" r="309" customHeight="1" ht="17.25">
      <c r="A309" s="6">
        <v>45965</v>
      </c>
      <c r="B309" s="21"/>
      <c r="C309" s="31">
        <f>IF(OR(WEEKDAY(A309)=7,WEEKDAY(A309)=1),"WEEKEND","")</f>
      </c>
    </row>
    <row x14ac:dyDescent="0.25" r="310" customHeight="1" ht="17.25">
      <c r="A310" s="6">
        <v>45966</v>
      </c>
      <c r="B310" s="21"/>
      <c r="C310" s="31">
        <f>IF(OR(WEEKDAY(A310)=7,WEEKDAY(A310)=1),"WEEKEND","")</f>
      </c>
    </row>
    <row x14ac:dyDescent="0.25" r="311" customHeight="1" ht="17.25">
      <c r="A311" s="6">
        <v>45967</v>
      </c>
      <c r="B311" s="21"/>
      <c r="C311" s="31">
        <f>IF(OR(WEEKDAY(A311)=7,WEEKDAY(A311)=1),"WEEKEND","")</f>
      </c>
    </row>
    <row x14ac:dyDescent="0.25" r="312" customHeight="1" ht="17.25">
      <c r="A312" s="6">
        <v>45968</v>
      </c>
      <c r="B312" s="21"/>
      <c r="C312" s="31">
        <f>IF(OR(WEEKDAY(A312)=7,WEEKDAY(A312)=1),"WEEKEND","")</f>
      </c>
    </row>
    <row x14ac:dyDescent="0.25" r="313" customHeight="1" ht="17.25">
      <c r="A313" s="6">
        <v>45969</v>
      </c>
      <c r="B313" s="21"/>
      <c r="C313" s="31">
        <f>IF(OR(WEEKDAY(A313)=7,WEEKDAY(A313)=1),"WEEKEND","")</f>
      </c>
    </row>
    <row x14ac:dyDescent="0.25" r="314" customHeight="1" ht="17.25">
      <c r="A314" s="6">
        <v>45970</v>
      </c>
      <c r="B314" s="21"/>
      <c r="C314" s="31">
        <f>IF(OR(WEEKDAY(A314)=7,WEEKDAY(A314)=1),"WEEKEND","")</f>
      </c>
    </row>
    <row x14ac:dyDescent="0.25" r="315" customHeight="1" ht="17.25">
      <c r="A315" s="6">
        <v>45971</v>
      </c>
      <c r="B315" s="21"/>
      <c r="C315" s="31">
        <f>IF(OR(WEEKDAY(A315)=7,WEEKDAY(A315)=1),"WEEKEND","")</f>
      </c>
    </row>
    <row x14ac:dyDescent="0.25" r="316" customHeight="1" ht="17.25">
      <c r="A316" s="6">
        <v>45972</v>
      </c>
      <c r="B316" s="21"/>
      <c r="C316" s="31">
        <f>IF(OR(WEEKDAY(A316)=7,WEEKDAY(A316)=1),"WEEKEND","")</f>
      </c>
    </row>
    <row x14ac:dyDescent="0.25" r="317" customHeight="1" ht="17.25">
      <c r="A317" s="6">
        <v>45973</v>
      </c>
      <c r="B317" s="21"/>
      <c r="C317" s="31">
        <f>IF(OR(WEEKDAY(A317)=7,WEEKDAY(A317)=1),"WEEKEND","")</f>
      </c>
    </row>
    <row x14ac:dyDescent="0.25" r="318" customHeight="1" ht="17.25">
      <c r="A318" s="6">
        <v>45974</v>
      </c>
      <c r="B318" s="21"/>
      <c r="C318" s="31">
        <f>IF(OR(WEEKDAY(A318)=7,WEEKDAY(A318)=1),"WEEKEND","")</f>
      </c>
    </row>
    <row x14ac:dyDescent="0.25" r="319" customHeight="1" ht="17.25">
      <c r="A319" s="6">
        <v>45975</v>
      </c>
      <c r="B319" s="21"/>
      <c r="C319" s="31">
        <f>IF(OR(WEEKDAY(A319)=7,WEEKDAY(A319)=1),"WEEKEND","")</f>
      </c>
    </row>
    <row x14ac:dyDescent="0.25" r="320" customHeight="1" ht="17.25">
      <c r="A320" s="6">
        <v>45976</v>
      </c>
      <c r="B320" s="21"/>
      <c r="C320" s="31">
        <f>IF(OR(WEEKDAY(A320)=7,WEEKDAY(A320)=1),"WEEKEND","")</f>
      </c>
    </row>
    <row x14ac:dyDescent="0.25" r="321" customHeight="1" ht="17.25">
      <c r="A321" s="6">
        <v>45977</v>
      </c>
      <c r="B321" s="21"/>
      <c r="C321" s="31">
        <f>IF(OR(WEEKDAY(A321)=7,WEEKDAY(A321)=1),"WEEKEND","")</f>
      </c>
    </row>
    <row x14ac:dyDescent="0.25" r="322" customHeight="1" ht="17.25">
      <c r="A322" s="6">
        <v>45978</v>
      </c>
      <c r="B322" s="21"/>
      <c r="C322" s="31">
        <f>IF(OR(WEEKDAY(A322)=7,WEEKDAY(A322)=1),"WEEKEND","")</f>
      </c>
    </row>
    <row x14ac:dyDescent="0.25" r="323" customHeight="1" ht="17.25">
      <c r="A323" s="6">
        <v>45979</v>
      </c>
      <c r="B323" s="21"/>
      <c r="C323" s="31">
        <f>IF(OR(WEEKDAY(A323)=7,WEEKDAY(A323)=1),"WEEKEND","")</f>
      </c>
    </row>
    <row x14ac:dyDescent="0.25" r="324" customHeight="1" ht="17.25">
      <c r="A324" s="6">
        <v>45980</v>
      </c>
      <c r="B324" s="21"/>
      <c r="C324" s="31">
        <f>IF(OR(WEEKDAY(A324)=7,WEEKDAY(A324)=1),"WEEKEND","")</f>
      </c>
    </row>
    <row x14ac:dyDescent="0.25" r="325" customHeight="1" ht="17.25">
      <c r="A325" s="6">
        <v>45981</v>
      </c>
      <c r="B325" s="21"/>
      <c r="C325" s="31">
        <f>IF(OR(WEEKDAY(A325)=7,WEEKDAY(A325)=1),"WEEKEND","")</f>
      </c>
    </row>
    <row x14ac:dyDescent="0.25" r="326" customHeight="1" ht="17.25">
      <c r="A326" s="6">
        <v>45982</v>
      </c>
      <c r="B326" s="21"/>
      <c r="C326" s="31">
        <f>IF(OR(WEEKDAY(A326)=7,WEEKDAY(A326)=1),"WEEKEND","")</f>
      </c>
    </row>
    <row x14ac:dyDescent="0.25" r="327" customHeight="1" ht="17.25">
      <c r="A327" s="6">
        <v>45983</v>
      </c>
      <c r="B327" s="21"/>
      <c r="C327" s="31">
        <f>IF(OR(WEEKDAY(A327)=7,WEEKDAY(A327)=1),"WEEKEND","")</f>
      </c>
    </row>
    <row x14ac:dyDescent="0.25" r="328" customHeight="1" ht="17.25">
      <c r="A328" s="6">
        <v>45984</v>
      </c>
      <c r="B328" s="21"/>
      <c r="C328" s="31">
        <f>IF(OR(WEEKDAY(A328)=7,WEEKDAY(A328)=1),"WEEKEND","")</f>
      </c>
    </row>
    <row x14ac:dyDescent="0.25" r="329" customHeight="1" ht="17.25">
      <c r="A329" s="6">
        <v>45985</v>
      </c>
      <c r="B329" s="21"/>
      <c r="C329" s="31">
        <f>IF(OR(WEEKDAY(A329)=7,WEEKDAY(A329)=1),"WEEKEND","")</f>
      </c>
    </row>
    <row x14ac:dyDescent="0.25" r="330" customHeight="1" ht="17.25">
      <c r="A330" s="6">
        <v>45986</v>
      </c>
      <c r="B330" s="21"/>
      <c r="C330" s="31">
        <f>IF(OR(WEEKDAY(A330)=7,WEEKDAY(A330)=1),"WEEKEND","")</f>
      </c>
    </row>
    <row x14ac:dyDescent="0.25" r="331" customHeight="1" ht="17.25">
      <c r="A331" s="6">
        <v>45987</v>
      </c>
      <c r="B331" s="21"/>
      <c r="C331" s="31">
        <f>IF(OR(WEEKDAY(A331)=7,WEEKDAY(A331)=1),"WEEKEND","")</f>
      </c>
    </row>
    <row x14ac:dyDescent="0.25" r="332" customHeight="1" ht="17.25">
      <c r="A332" s="6">
        <v>45988</v>
      </c>
      <c r="B332" s="21"/>
      <c r="C332" s="31">
        <f>IF(OR(WEEKDAY(A332)=7,WEEKDAY(A332)=1),"WEEKEND","")</f>
      </c>
    </row>
    <row x14ac:dyDescent="0.25" r="333" customHeight="1" ht="17.25">
      <c r="A333" s="6">
        <v>45989</v>
      </c>
      <c r="B333" s="21"/>
      <c r="C333" s="31">
        <f>IF(OR(WEEKDAY(A333)=7,WEEKDAY(A333)=1),"WEEKEND","")</f>
      </c>
    </row>
    <row x14ac:dyDescent="0.25" r="334" customHeight="1" ht="17.25">
      <c r="A334" s="6">
        <v>45990</v>
      </c>
      <c r="B334" s="21"/>
      <c r="C334" s="31">
        <f>IF(OR(WEEKDAY(A334)=7,WEEKDAY(A334)=1),"WEEKEND","")</f>
      </c>
    </row>
    <row x14ac:dyDescent="0.25" r="335" customHeight="1" ht="17.25">
      <c r="A335" s="6">
        <v>45991</v>
      </c>
      <c r="B335" s="21"/>
      <c r="C335" s="31">
        <f>IF(OR(WEEKDAY(A335)=7,WEEKDAY(A335)=1),"WEEKEND","")</f>
      </c>
    </row>
    <row x14ac:dyDescent="0.25" r="336" customHeight="1" ht="17.25">
      <c r="A336" s="6">
        <v>45992</v>
      </c>
      <c r="B336" s="21"/>
      <c r="C336" s="31">
        <f>IF(OR(WEEKDAY(A336)=7,WEEKDAY(A336)=1),"WEEKEND","")</f>
      </c>
    </row>
    <row x14ac:dyDescent="0.25" r="337" customHeight="1" ht="17.25">
      <c r="A337" s="6">
        <v>45993</v>
      </c>
      <c r="B337" s="21"/>
      <c r="C337" s="31">
        <f>IF(OR(WEEKDAY(A337)=7,WEEKDAY(A337)=1),"WEEKEND","")</f>
      </c>
    </row>
    <row x14ac:dyDescent="0.25" r="338" customHeight="1" ht="17.25">
      <c r="A338" s="6">
        <v>45994</v>
      </c>
      <c r="B338" s="21"/>
      <c r="C338" s="31">
        <f>IF(OR(WEEKDAY(A338)=7,WEEKDAY(A338)=1),"WEEKEND","")</f>
      </c>
    </row>
    <row x14ac:dyDescent="0.25" r="339" customHeight="1" ht="17.25">
      <c r="A339" s="6">
        <v>45995</v>
      </c>
      <c r="B339" s="21"/>
      <c r="C339" s="31">
        <f>IF(OR(WEEKDAY(A339)=7,WEEKDAY(A339)=1),"WEEKEND","")</f>
      </c>
    </row>
    <row x14ac:dyDescent="0.25" r="340" customHeight="1" ht="17.25">
      <c r="A340" s="6">
        <v>45996</v>
      </c>
      <c r="B340" s="21"/>
      <c r="C340" s="31">
        <f>IF(OR(WEEKDAY(A340)=7,WEEKDAY(A340)=1),"WEEKEND","")</f>
      </c>
    </row>
    <row x14ac:dyDescent="0.25" r="341" customHeight="1" ht="17.25">
      <c r="A341" s="6">
        <v>45997</v>
      </c>
      <c r="B341" s="21"/>
      <c r="C341" s="31">
        <f>IF(OR(WEEKDAY(A341)=7,WEEKDAY(A341)=1),"WEEKEND","")</f>
      </c>
    </row>
    <row x14ac:dyDescent="0.25" r="342" customHeight="1" ht="17.25">
      <c r="A342" s="6">
        <v>45998</v>
      </c>
      <c r="B342" s="21"/>
      <c r="C342" s="31">
        <f>IF(OR(WEEKDAY(A342)=7,WEEKDAY(A342)=1),"WEEKEND","")</f>
      </c>
    </row>
    <row x14ac:dyDescent="0.25" r="343" customHeight="1" ht="17.25">
      <c r="A343" s="6">
        <v>45999</v>
      </c>
      <c r="B343" s="21"/>
      <c r="C343" s="21" t="s">
        <v>33</v>
      </c>
    </row>
    <row x14ac:dyDescent="0.25" r="344" customHeight="1" ht="17.25">
      <c r="A344" s="6">
        <v>46000</v>
      </c>
      <c r="B344" s="21"/>
      <c r="C344" s="31">
        <f>IF(OR(WEEKDAY(A344)=7,WEEKDAY(A344)=1),"WEEKEND","")</f>
      </c>
    </row>
    <row x14ac:dyDescent="0.25" r="345" customHeight="1" ht="17.25">
      <c r="A345" s="6">
        <v>46001</v>
      </c>
      <c r="B345" s="21"/>
      <c r="C345" s="31">
        <f>IF(OR(WEEKDAY(A345)=7,WEEKDAY(A345)=1),"WEEKEND","")</f>
      </c>
    </row>
    <row x14ac:dyDescent="0.25" r="346" customHeight="1" ht="17.25">
      <c r="A346" s="6">
        <v>46002</v>
      </c>
      <c r="B346" s="21"/>
      <c r="C346" s="31">
        <f>IF(OR(WEEKDAY(A346)=7,WEEKDAY(A346)=1),"WEEKEND","")</f>
      </c>
    </row>
    <row x14ac:dyDescent="0.25" r="347" customHeight="1" ht="17.25">
      <c r="A347" s="6">
        <v>46003</v>
      </c>
      <c r="B347" s="21"/>
      <c r="C347" s="31">
        <f>IF(OR(WEEKDAY(A347)=7,WEEKDAY(A347)=1),"WEEKEND","")</f>
      </c>
    </row>
    <row x14ac:dyDescent="0.25" r="348" customHeight="1" ht="17.25">
      <c r="A348" s="6">
        <v>46004</v>
      </c>
      <c r="B348" s="21"/>
      <c r="C348" s="31">
        <f>IF(OR(WEEKDAY(A348)=7,WEEKDAY(A348)=1),"WEEKEND","")</f>
      </c>
    </row>
    <row x14ac:dyDescent="0.25" r="349" customHeight="1" ht="17.25">
      <c r="A349" s="6">
        <v>46005</v>
      </c>
      <c r="B349" s="21"/>
      <c r="C349" s="31">
        <f>IF(OR(WEEKDAY(A349)=7,WEEKDAY(A349)=1),"WEEKEND","")</f>
      </c>
    </row>
    <row x14ac:dyDescent="0.25" r="350" customHeight="1" ht="17.25">
      <c r="A350" s="6">
        <v>46006</v>
      </c>
      <c r="B350" s="21"/>
      <c r="C350" s="31">
        <f>IF(OR(WEEKDAY(A350)=7,WEEKDAY(A350)=1),"WEEKEND","")</f>
      </c>
    </row>
    <row x14ac:dyDescent="0.25" r="351" customHeight="1" ht="17.25">
      <c r="A351" s="6">
        <v>46007</v>
      </c>
      <c r="B351" s="21"/>
      <c r="C351" s="31">
        <f>IF(OR(WEEKDAY(A351)=7,WEEKDAY(A351)=1),"WEEKEND","")</f>
      </c>
    </row>
    <row x14ac:dyDescent="0.25" r="352" customHeight="1" ht="17.25">
      <c r="A352" s="6">
        <v>46008</v>
      </c>
      <c r="B352" s="21"/>
      <c r="C352" s="31">
        <f>IF(OR(WEEKDAY(A352)=7,WEEKDAY(A352)=1),"WEEKEND","")</f>
      </c>
    </row>
    <row x14ac:dyDescent="0.25" r="353" customHeight="1" ht="17.25">
      <c r="A353" s="6">
        <v>46009</v>
      </c>
      <c r="B353" s="21"/>
      <c r="C353" s="31">
        <f>IF(OR(WEEKDAY(A353)=7,WEEKDAY(A353)=1),"WEEKEND","")</f>
      </c>
    </row>
    <row x14ac:dyDescent="0.25" r="354" customHeight="1" ht="17.25">
      <c r="A354" s="6">
        <v>46010</v>
      </c>
      <c r="B354" s="21"/>
      <c r="C354" s="31">
        <f>IF(OR(WEEKDAY(A354)=7,WEEKDAY(A354)=1),"WEEKEND","")</f>
      </c>
    </row>
    <row x14ac:dyDescent="0.25" r="355" customHeight="1" ht="17.25">
      <c r="A355" s="6">
        <v>46011</v>
      </c>
      <c r="B355" s="21"/>
      <c r="C355" s="31">
        <f>IF(OR(WEEKDAY(A355)=7,WEEKDAY(A355)=1),"WEEKEND","")</f>
      </c>
    </row>
    <row x14ac:dyDescent="0.25" r="356" customHeight="1" ht="17.25">
      <c r="A356" s="6">
        <v>46012</v>
      </c>
      <c r="B356" s="21"/>
      <c r="C356" s="31">
        <f>IF(OR(WEEKDAY(A356)=7,WEEKDAY(A356)=1),"WEEKEND","")</f>
      </c>
    </row>
    <row x14ac:dyDescent="0.25" r="357" customHeight="1" ht="17.25">
      <c r="A357" s="6">
        <v>46013</v>
      </c>
      <c r="B357" s="21"/>
      <c r="C357" s="31">
        <f>IF(OR(WEEKDAY(A357)=7,WEEKDAY(A357)=1),"WEEKEND","")</f>
      </c>
    </row>
    <row x14ac:dyDescent="0.25" r="358" customHeight="1" ht="17.25">
      <c r="A358" s="6">
        <v>46014</v>
      </c>
      <c r="B358" s="21"/>
      <c r="C358" s="31">
        <f>IF(OR(WEEKDAY(A358)=7,WEEKDAY(A358)=1),"WEEKEND","")</f>
      </c>
    </row>
    <row x14ac:dyDescent="0.25" r="359" customHeight="1" ht="17.25">
      <c r="A359" s="6">
        <v>46015</v>
      </c>
      <c r="B359" s="21"/>
      <c r="C359" s="31">
        <f>IF(OR(WEEKDAY(A359)=7,WEEKDAY(A359)=1),"WEEKEND","")</f>
      </c>
    </row>
    <row x14ac:dyDescent="0.25" r="360" customHeight="1" ht="17.25">
      <c r="A360" s="6">
        <v>46016</v>
      </c>
      <c r="B360" s="21"/>
      <c r="C360" s="21" t="s">
        <v>34</v>
      </c>
    </row>
    <row x14ac:dyDescent="0.25" r="361" customHeight="1" ht="17.25">
      <c r="A361" s="6">
        <v>46017</v>
      </c>
      <c r="B361" s="21"/>
      <c r="C361" s="21" t="s">
        <v>35</v>
      </c>
    </row>
    <row x14ac:dyDescent="0.25" r="362" customHeight="1" ht="17.25">
      <c r="A362" s="6">
        <v>46018</v>
      </c>
      <c r="B362" s="21"/>
      <c r="C362" s="31">
        <f>IF(OR(WEEKDAY(A362)=7,WEEKDAY(A362)=1),"WEEKEND","")</f>
      </c>
    </row>
    <row x14ac:dyDescent="0.25" r="363" customHeight="1" ht="17.25">
      <c r="A363" s="6">
        <v>46019</v>
      </c>
      <c r="B363" s="21"/>
      <c r="C363" s="31">
        <f>IF(OR(WEEKDAY(A363)=7,WEEKDAY(A363)=1),"WEEKEND","")</f>
      </c>
    </row>
    <row x14ac:dyDescent="0.25" r="364" customHeight="1" ht="17.25">
      <c r="A364" s="6">
        <v>46020</v>
      </c>
      <c r="B364" s="21"/>
      <c r="C364" s="31">
        <f>IF(OR(WEEKDAY(A364)=7,WEEKDAY(A364)=1),"WEEKEND","")</f>
      </c>
    </row>
    <row x14ac:dyDescent="0.25" r="365" customHeight="1" ht="17.25">
      <c r="A365" s="6">
        <v>46021</v>
      </c>
      <c r="B365" s="21"/>
      <c r="C365" s="31">
        <f>IF(OR(WEEKDAY(A365)=7,WEEKDAY(A365)=1),"WEEKEND","")</f>
      </c>
    </row>
    <row x14ac:dyDescent="0.25" r="366" customHeight="1" ht="17.25">
      <c r="A366" s="6">
        <v>46022</v>
      </c>
      <c r="B366" s="21"/>
      <c r="C366" s="31">
        <f>IF(OR(WEEKDAY(A366)=7,WEEKDAY(A366)=1),"WEEKEND","")</f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A1:L366"/>
  <sheetViews>
    <sheetView workbookViewId="0" tabSelected="1"/>
  </sheetViews>
  <sheetFormatPr defaultRowHeight="15" x14ac:dyDescent="0.25"/>
  <cols>
    <col min="1" max="1" style="25" width="10.290714285714287" customWidth="1" bestFit="1"/>
    <col min="2" max="2" style="26" width="10.005" customWidth="1" bestFit="1"/>
    <col min="3" max="3" style="27" width="9.147857142857141" customWidth="1" bestFit="1"/>
    <col min="4" max="4" style="27" width="11.290714285714287" customWidth="1" bestFit="1"/>
    <col min="5" max="5" style="27" width="12.719285714285713" customWidth="1" bestFit="1"/>
    <col min="6" max="6" style="27" width="14.719285714285713" customWidth="1" bestFit="1"/>
    <col min="7" max="7" style="27" width="17.290714285714284" customWidth="1" bestFit="1"/>
    <col min="8" max="8" style="28" width="15.719285714285713" customWidth="1" bestFit="1"/>
    <col min="9" max="9" style="29" width="15.719285714285713" customWidth="1" bestFit="1"/>
    <col min="10" max="10" style="26" width="13.719285714285713" customWidth="1" bestFit="1"/>
    <col min="11" max="11" style="26" width="15.147857142857141" customWidth="1" bestFit="1"/>
    <col min="12" max="12" style="29" width="12.005" customWidth="1" bestFit="1"/>
  </cols>
  <sheetData>
    <row x14ac:dyDescent="0.25" r="1" customHeight="1" ht="18.75">
      <c r="A1" s="1" t="s">
        <v>0</v>
      </c>
      <c r="B1" s="2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4" t="s">
        <v>8</v>
      </c>
      <c r="J1" s="5" t="s">
        <v>9</v>
      </c>
      <c r="K1" s="5" t="s">
        <v>10</v>
      </c>
      <c r="L1" s="4" t="s">
        <v>11</v>
      </c>
    </row>
    <row x14ac:dyDescent="0.25" r="2" customHeight="1" ht="19.5">
      <c r="A2" s="6">
        <v>45658</v>
      </c>
      <c r="B2" s="7" t="s">
        <v>12</v>
      </c>
      <c r="C2" s="8"/>
      <c r="D2" s="8"/>
      <c r="E2" s="9"/>
      <c r="F2" s="8"/>
      <c r="G2" s="8"/>
      <c r="H2" s="8">
        <v>2.166666666666667</v>
      </c>
      <c r="I2" s="10">
        <f>iferror(if(H2&gt;G2, H2-G2, G2-H2), "")</f>
        <v>25569.1875</v>
      </c>
      <c r="J2" s="11">
        <f>iferror(vlookup(A2, Calendar!$A$2:$C$261, 3, 0), "")</f>
      </c>
      <c r="K2" s="12">
        <f>if(C2&gt;D2, "NO CHECK-OUT", "")</f>
      </c>
      <c r="L2" s="13">
        <f>iferror(if(G2="", $F$1, if(G2="ATTENTION", $F$1-H2, if(H2&gt;G2, $F$1-I2, $F$1+I2))), "")</f>
        <v>25569.1875</v>
      </c>
    </row>
    <row x14ac:dyDescent="0.25" r="3" customHeight="1" ht="19.5">
      <c r="A3" s="6">
        <v>45659</v>
      </c>
      <c r="B3" s="14" t="s">
        <v>13</v>
      </c>
      <c r="C3" s="9"/>
      <c r="D3" s="9"/>
      <c r="E3" s="9"/>
      <c r="F3" s="9"/>
      <c r="G3" s="15" t="s">
        <v>14</v>
      </c>
      <c r="H3" s="8">
        <v>2.166666666666667</v>
      </c>
      <c r="I3" s="10">
        <f>iferror(if(H3&gt;G3, H3-G3, G3-H3), "")</f>
        <v>25569.1875</v>
      </c>
      <c r="J3" s="11">
        <f>iferror(vlookup(A3, Calendar!$A$2:$C$261, 3, 0), "")</f>
      </c>
      <c r="K3" s="12">
        <f>if(C3&gt;D3, "NO CHECK-OUT", "")</f>
      </c>
      <c r="L3" s="13">
        <f>iferror(if(G3="", L2, if(G3="ATTENTION", L2-H3, if(H3&gt;G3, L2-I3, L2+I3))), "")</f>
        <v>25569.1875</v>
      </c>
    </row>
    <row x14ac:dyDescent="0.25" r="4" customHeight="1" ht="19.5">
      <c r="A4" s="6">
        <v>45660</v>
      </c>
      <c r="B4" s="14" t="s">
        <v>15</v>
      </c>
      <c r="C4" s="9"/>
      <c r="D4" s="9"/>
      <c r="E4" s="9"/>
      <c r="F4" s="9">
        <v>2.020833333333333</v>
      </c>
      <c r="G4" s="15" t="s">
        <v>14</v>
      </c>
      <c r="H4" s="8">
        <v>2.166666666666667</v>
      </c>
      <c r="I4" s="10">
        <f>iferror(if(H4&gt;G4, H4-G4, G4-H4), "")</f>
        <v>25569.1875</v>
      </c>
      <c r="J4" s="11">
        <f>iferror(vlookup(A4, Calendar!$A$2:$C$261, 3, 0), "")</f>
      </c>
      <c r="K4" s="12">
        <f>if(C4&gt;D4, "NO CHECK-OUT", "")</f>
      </c>
      <c r="L4" s="13">
        <f>iferror(if(G4="", L3, if(G4="ATTENTION", L3-H4, if(H4&gt;G4, L3-I4, L3+I4))), "")</f>
        <v>25569.1875</v>
      </c>
    </row>
    <row x14ac:dyDescent="0.25" r="5" customHeight="1" ht="19.5">
      <c r="A5" s="6">
        <v>45661</v>
      </c>
      <c r="B5" s="7" t="s">
        <v>16</v>
      </c>
      <c r="C5" s="8"/>
      <c r="D5" s="8"/>
      <c r="E5" s="8"/>
      <c r="F5" s="8"/>
      <c r="G5" s="8"/>
      <c r="H5" s="8">
        <v>2.166666666666667</v>
      </c>
      <c r="I5" s="10">
        <f>iferror(if(H5&gt;G5, H5-G5, G5-H5), "")</f>
        <v>25569.1875</v>
      </c>
      <c r="J5" s="11">
        <f>iferror(vlookup(A5, Calendar!$A$2:$C$261, 3, 0), "")</f>
      </c>
      <c r="K5" s="12">
        <f>if(C5&gt;D5, "NO CHECK-OUT", "")</f>
      </c>
      <c r="L5" s="13">
        <f>iferror(if(G5="", L4, if(G5="ATTENTION", L4-H5, if(H5&gt;G5, L4-I5, L4+I5))), "")</f>
        <v>25569.1875</v>
      </c>
    </row>
    <row x14ac:dyDescent="0.25" r="6" customHeight="1" ht="19.5">
      <c r="A6" s="6">
        <v>45662</v>
      </c>
      <c r="B6" s="7" t="s">
        <v>17</v>
      </c>
      <c r="C6" s="8"/>
      <c r="D6" s="8"/>
      <c r="E6" s="9"/>
      <c r="F6" s="8"/>
      <c r="G6" s="8"/>
      <c r="H6" s="8">
        <v>2.166666666666667</v>
      </c>
      <c r="I6" s="10">
        <f>iferror(if(H6&gt;G6, H6-G6, G6-H6), "")</f>
        <v>25569.1875</v>
      </c>
      <c r="J6" s="11">
        <f>iferror(vlookup(A6, Calendar!$A$2:$C$261, 3, 0), "")</f>
      </c>
      <c r="K6" s="12">
        <f>if(C6&gt;D6, "NO CHECK-OUT", "")</f>
      </c>
      <c r="L6" s="13">
        <f>iferror(if(G6="", L5, if(G6="ATTENTION", L5-H6, if(H6&gt;G6, L5-I6, L5+I6))), "")</f>
        <v>25569.1875</v>
      </c>
    </row>
    <row x14ac:dyDescent="0.25" r="7" customHeight="1" ht="19.5">
      <c r="A7" s="6">
        <v>45663</v>
      </c>
      <c r="B7" s="14" t="s">
        <v>18</v>
      </c>
      <c r="C7" s="9"/>
      <c r="D7" s="9"/>
      <c r="E7" s="9"/>
      <c r="F7" s="9"/>
      <c r="G7" s="9"/>
      <c r="H7" s="8">
        <v>2.166666666666667</v>
      </c>
      <c r="I7" s="10">
        <f>iferror(if(H7&gt;G7, H7-G7, G7-H7), "")</f>
        <v>25569.1875</v>
      </c>
      <c r="J7" s="11">
        <f>iferror(vlookup(A7, Calendar!$A$2:$C$261, 3, 0), "")</f>
      </c>
      <c r="K7" s="12">
        <f>if(C7&gt;D7, "NO CHECK-OUT", "")</f>
      </c>
      <c r="L7" s="13">
        <f>iferror(if(G7="", L6, if(G7="ATTENTION", L6-H7, if(H7&gt;G7, L6-I7, L6+I7))), "")</f>
        <v>25569.1875</v>
      </c>
    </row>
    <row x14ac:dyDescent="0.25" r="8" customHeight="1" ht="19.5">
      <c r="A8" s="6">
        <v>45664</v>
      </c>
      <c r="B8" s="14" t="s">
        <v>19</v>
      </c>
      <c r="C8" s="9"/>
      <c r="D8" s="9"/>
      <c r="E8" s="9"/>
      <c r="F8" s="9">
        <v>2.020833333333333</v>
      </c>
      <c r="G8" s="15" t="s">
        <v>14</v>
      </c>
      <c r="H8" s="8">
        <v>2.166666666666667</v>
      </c>
      <c r="I8" s="10">
        <f>iferror(if(H8&gt;G8, H8-G8, G8-H8), "")</f>
        <v>25569.1875</v>
      </c>
      <c r="J8" s="11">
        <f>iferror(vlookup(A8, Calendar!$A$2:$C$261, 3, 0), "")</f>
      </c>
      <c r="K8" s="12">
        <f>if(C8&gt;D8, "NO CHECK-OUT", "")</f>
      </c>
      <c r="L8" s="13">
        <f>iferror(if(G8="", L7, if(G8="ATTENTION", L7-H8, if(H8&gt;G8, L7-I8, L7+I8))), "")</f>
        <v>25569.1875</v>
      </c>
    </row>
    <row x14ac:dyDescent="0.25" r="9" customHeight="1" ht="19.5">
      <c r="A9" s="6">
        <v>45665</v>
      </c>
      <c r="B9" s="7" t="s">
        <v>12</v>
      </c>
      <c r="C9" s="8">
        <v>2.375</v>
      </c>
      <c r="D9" s="8">
        <v>2.708333333333333</v>
      </c>
      <c r="E9" s="8">
        <v>2.333333333333333</v>
      </c>
      <c r="F9" s="8">
        <v>2.020833333333333</v>
      </c>
      <c r="G9" s="8">
        <v>2.3125</v>
      </c>
      <c r="H9" s="8">
        <v>2.166666666666667</v>
      </c>
      <c r="I9" s="10">
        <f>iferror(if(H9&gt;G9, H9-G9, G9-H9), "")</f>
        <v>25569.1875</v>
      </c>
      <c r="J9" s="11">
        <f>iferror(vlookup(A9, Calendar!$A$2:$C$261, 3, 0), "")</f>
      </c>
      <c r="K9" s="12">
        <f>if(C9&gt;D9, "NO CHECK-OUT", "")</f>
      </c>
      <c r="L9" s="13">
        <f>iferror(if(G9="", L8, if(G9="ATTENTION", L8-H9, if(H9&gt;G9, L8-I9, L8+I9))), "")</f>
        <v>25569.1875</v>
      </c>
    </row>
    <row x14ac:dyDescent="0.25" r="10" customHeight="1" ht="19.5">
      <c r="A10" s="6">
        <v>45666</v>
      </c>
      <c r="B10" s="7" t="s">
        <v>13</v>
      </c>
      <c r="C10" s="8">
        <v>2.375</v>
      </c>
      <c r="D10" s="8">
        <v>2.583333333333333</v>
      </c>
      <c r="E10" s="9">
        <v>2.208333333333333</v>
      </c>
      <c r="F10" s="8">
        <v>2.020833333333333</v>
      </c>
      <c r="G10" s="8">
        <v>2.1875</v>
      </c>
      <c r="H10" s="8">
        <v>2.166666666666667</v>
      </c>
      <c r="I10" s="10">
        <f>iferror(if(H10&gt;G10, H10-G10, G10-H10), "")</f>
        <v>25569.1875</v>
      </c>
      <c r="J10" s="11">
        <f>iferror(vlookup(A10, Calendar!$A$2:$C$261, 3, 0), "")</f>
      </c>
      <c r="K10" s="12">
        <f>if(C10&gt;D10, "NO CHECK-OUT", "")</f>
      </c>
      <c r="L10" s="13">
        <f>iferror(if(G10="", L9, if(G10="ATTENTION", L9-H10, if(H10&gt;G10, L9-I10, L9+I10))), "")</f>
        <v>25569.1875</v>
      </c>
    </row>
    <row x14ac:dyDescent="0.25" r="11" customHeight="1" ht="19.5">
      <c r="A11" s="6">
        <v>45667</v>
      </c>
      <c r="B11" s="14" t="s">
        <v>15</v>
      </c>
      <c r="C11" s="9"/>
      <c r="D11" s="9"/>
      <c r="E11" s="9"/>
      <c r="F11" s="9">
        <v>2.020833333333333</v>
      </c>
      <c r="G11" s="15" t="s">
        <v>14</v>
      </c>
      <c r="H11" s="8">
        <v>2.166666666666667</v>
      </c>
      <c r="I11" s="10">
        <f>iferror(if(H11&gt;G11, H11-G11, G11-H11), "")</f>
        <v>25569.1875</v>
      </c>
      <c r="J11" s="11">
        <f>iferror(vlookup(A11, Calendar!$A$2:$C$261, 3, 0), "")</f>
      </c>
      <c r="K11" s="12">
        <f>if(C11&gt;D11, "NO CHECK-OUT", "")</f>
      </c>
      <c r="L11" s="13">
        <f>iferror(if(G11="", L10, if(G11="ATTENTION", L10-H11, if(H11&gt;G11, L10-I11, L10+I11))), "")</f>
        <v>25569.1875</v>
      </c>
    </row>
    <row x14ac:dyDescent="0.25" r="12" customHeight="1" ht="19.5">
      <c r="A12" s="6">
        <v>45668</v>
      </c>
      <c r="B12" s="14" t="s">
        <v>16</v>
      </c>
      <c r="C12" s="9"/>
      <c r="D12" s="9"/>
      <c r="E12" s="9"/>
      <c r="F12" s="9"/>
      <c r="G12" s="9"/>
      <c r="H12" s="8">
        <v>2.166666666666667</v>
      </c>
      <c r="I12" s="10">
        <f>iferror(if(H12&gt;G12, H12-G12, G12-H12), "")</f>
        <v>25569.1875</v>
      </c>
      <c r="J12" s="11">
        <f>iferror(vlookup(A12, Calendar!$A$2:$C$261, 3, 0), "")</f>
      </c>
      <c r="K12" s="12">
        <f>if(C12&gt;D12, "NO CHECK-OUT", "")</f>
      </c>
      <c r="L12" s="13">
        <f>iferror(if(G12="", L11, if(G12="ATTENTION", L11-H12, if(H12&gt;G12, L11-I12, L11+I12))), "")</f>
        <v>25569.1875</v>
      </c>
    </row>
    <row x14ac:dyDescent="0.25" r="13" customHeight="1" ht="19.5">
      <c r="A13" s="6">
        <v>45669</v>
      </c>
      <c r="B13" s="7" t="s">
        <v>17</v>
      </c>
      <c r="C13" s="8"/>
      <c r="D13" s="8"/>
      <c r="E13" s="8"/>
      <c r="F13" s="8"/>
      <c r="G13" s="8"/>
      <c r="H13" s="8">
        <v>2.166666666666667</v>
      </c>
      <c r="I13" s="10">
        <f>iferror(if(H13&gt;G13, H13-G13, G13-H13), "")</f>
        <v>25569.1875</v>
      </c>
      <c r="J13" s="11">
        <f>iferror(vlookup(A13, Calendar!$A$2:$C$261, 3, 0), "")</f>
      </c>
      <c r="K13" s="12">
        <f>if(C13&gt;D13, "NO CHECK-OUT", "")</f>
      </c>
      <c r="L13" s="13">
        <f>iferror(if(G13="", L12, if(G13="ATTENTION", L12-H13, if(H13&gt;G13, L12-I13, L12+I13))), "")</f>
        <v>25569.1875</v>
      </c>
    </row>
    <row x14ac:dyDescent="0.25" r="14" customHeight="1" ht="19.5">
      <c r="A14" s="6">
        <v>45670</v>
      </c>
      <c r="B14" s="7" t="s">
        <v>18</v>
      </c>
      <c r="C14" s="8">
        <v>2.375</v>
      </c>
      <c r="D14" s="8">
        <v>2.6180555555555554</v>
      </c>
      <c r="E14" s="9">
        <v>2.2430555555555554</v>
      </c>
      <c r="F14" s="8">
        <v>2.020833333333333</v>
      </c>
      <c r="G14" s="8">
        <v>2.2222222222222223</v>
      </c>
      <c r="H14" s="8">
        <v>2.166666666666667</v>
      </c>
      <c r="I14" s="10">
        <f>iferror(if(H14&gt;G14, H14-G14, G14-H14), "")</f>
        <v>25569.1875</v>
      </c>
      <c r="J14" s="11">
        <f>iferror(vlookup(A14, Calendar!$A$2:$C$261, 3, 0), "")</f>
      </c>
      <c r="K14" s="12">
        <f>if(C14&gt;D14, "NO CHECK-OUT", "")</f>
      </c>
      <c r="L14" s="13">
        <f>iferror(if(G14="", L13, if(G14="ATTENTION", L13-H14, if(H14&gt;G14, L13-I14, L13+I14))), "")</f>
        <v>25569.1875</v>
      </c>
    </row>
    <row x14ac:dyDescent="0.25" r="15" customHeight="1" ht="19.5">
      <c r="A15" s="6">
        <v>45671</v>
      </c>
      <c r="B15" s="14" t="s">
        <v>19</v>
      </c>
      <c r="C15" s="9"/>
      <c r="D15" s="9"/>
      <c r="E15" s="9"/>
      <c r="F15" s="9">
        <v>2.020833333333333</v>
      </c>
      <c r="G15" s="15" t="s">
        <v>14</v>
      </c>
      <c r="H15" s="8">
        <v>2.166666666666667</v>
      </c>
      <c r="I15" s="10">
        <f>iferror(if(H15&gt;G15, H15-G15, G15-H15), "")</f>
        <v>25569.1875</v>
      </c>
      <c r="J15" s="11">
        <f>iferror(vlookup(A15, Calendar!$A$2:$C$261, 3, 0), "")</f>
      </c>
      <c r="K15" s="12">
        <f>if(C15&gt;D15, "NO CHECK-OUT", "")</f>
      </c>
      <c r="L15" s="13">
        <f>iferror(if(G15="", L14, if(G15="ATTENTION", L14-H15, if(H15&gt;G15, L14-I15, L14+I15))), "")</f>
        <v>25569.1875</v>
      </c>
    </row>
    <row x14ac:dyDescent="0.25" r="16" customHeight="1" ht="17.25">
      <c r="A16" s="6">
        <v>45672</v>
      </c>
      <c r="B16" s="14" t="s">
        <v>12</v>
      </c>
      <c r="C16" s="9">
        <v>2.361111111111111</v>
      </c>
      <c r="D16" s="9">
        <v>2.552083333333333</v>
      </c>
      <c r="E16" s="9">
        <v>2.1909722222222223</v>
      </c>
      <c r="F16" s="9">
        <v>2.020833333333333</v>
      </c>
      <c r="G16" s="9">
        <v>2.170138888888889</v>
      </c>
      <c r="H16" s="8">
        <v>2.166666666666667</v>
      </c>
      <c r="I16" s="10">
        <f>iferror(if(H16&gt;G16, H16-G16, G16-H16), "")</f>
        <v>25569.1875</v>
      </c>
      <c r="J16" s="11">
        <f>iferror(vlookup(A16, Calendar!$A$2:$C$261, 3, 0), "")</f>
      </c>
      <c r="K16" s="12">
        <f>if(C16&gt;D16, "NO CHECK-OUT", "")</f>
      </c>
      <c r="L16" s="13">
        <f>iferror(if(G16="", L15, if(G16="ATTENTION", L15-H16, if(H16&gt;G16, L15-I16, L15+I16))), "")</f>
        <v>25569.1875</v>
      </c>
    </row>
    <row x14ac:dyDescent="0.25" r="17" customHeight="1" ht="17.25">
      <c r="A17" s="6">
        <v>45673</v>
      </c>
      <c r="B17" s="7" t="s">
        <v>13</v>
      </c>
      <c r="C17" s="8">
        <v>2.458333333333333</v>
      </c>
      <c r="D17" s="8">
        <v>2.5319444444444446</v>
      </c>
      <c r="E17" s="8">
        <v>2.073611111111111</v>
      </c>
      <c r="F17" s="9">
        <v>2.020833333333333</v>
      </c>
      <c r="G17" s="16" t="s">
        <v>14</v>
      </c>
      <c r="H17" s="8">
        <v>2.166666666666667</v>
      </c>
      <c r="I17" s="10">
        <f>iferror(if(H17&gt;G17, H17-G17, G17-H17), "")</f>
        <v>25569.1875</v>
      </c>
      <c r="J17" s="11">
        <f>iferror(vlookup(A17, Calendar!$A$2:$C$261, 3, 0), "")</f>
      </c>
      <c r="K17" s="12">
        <f>if(C17&gt;D17, "NO CHECK-OUT", "")</f>
      </c>
      <c r="L17" s="13">
        <f>iferror(if(G17="", L16, if(G17="ATTENTION", L16-H17, if(H17&gt;G17, L16-I17, L16+I17))), "")</f>
        <v>25569.1875</v>
      </c>
    </row>
    <row x14ac:dyDescent="0.25" r="18" customHeight="1" ht="17.25">
      <c r="A18" s="6">
        <v>45674</v>
      </c>
      <c r="B18" s="7" t="s">
        <v>15</v>
      </c>
      <c r="C18" s="8"/>
      <c r="D18" s="8"/>
      <c r="E18" s="9"/>
      <c r="F18" s="9">
        <v>2.020833333333333</v>
      </c>
      <c r="G18" s="16" t="s">
        <v>14</v>
      </c>
      <c r="H18" s="8">
        <v>2.166666666666667</v>
      </c>
      <c r="I18" s="10">
        <f>iferror(if(H18&gt;G18, H18-G18, G18-H18), "")</f>
        <v>25569.1875</v>
      </c>
      <c r="J18" s="11">
        <f>iferror(vlookup(A18, Calendar!$A$2:$C$261, 3, 0), "")</f>
      </c>
      <c r="K18" s="12">
        <f>if(C18&gt;D18, "NO CHECK-OUT", "")</f>
      </c>
      <c r="L18" s="13">
        <f>iferror(if(G18="", L17, if(G18="ATTENTION", L17-H18, if(H18&gt;G18, L17-I18, L17+I18))), "")</f>
        <v>25569.1875</v>
      </c>
    </row>
    <row x14ac:dyDescent="0.25" r="19" customHeight="1" ht="17.25">
      <c r="A19" s="6">
        <v>45675</v>
      </c>
      <c r="B19" s="14" t="s">
        <v>16</v>
      </c>
      <c r="C19" s="9"/>
      <c r="D19" s="9"/>
      <c r="E19" s="9"/>
      <c r="F19" s="9"/>
      <c r="G19" s="9"/>
      <c r="H19" s="8">
        <v>2.166666666666667</v>
      </c>
      <c r="I19" s="10">
        <f>iferror(if(H19&gt;G19, H19-G19, G19-H19), "")</f>
        <v>25569.1875</v>
      </c>
      <c r="J19" s="11">
        <f>iferror(vlookup(A19, Calendar!$A$2:$C$261, 3, 0), "")</f>
      </c>
      <c r="K19" s="12">
        <f>if(C19&gt;D19, "NO CHECK-OUT", "")</f>
      </c>
      <c r="L19" s="13">
        <f>iferror(if(G19="", L18, if(G19="ATTENTION", L18-H19, if(H19&gt;G19, L18-I19, L18+I19))), "")</f>
        <v>25569.1875</v>
      </c>
    </row>
    <row x14ac:dyDescent="0.25" r="20" customHeight="1" ht="17.25">
      <c r="A20" s="6">
        <v>45676</v>
      </c>
      <c r="B20" s="14" t="s">
        <v>17</v>
      </c>
      <c r="C20" s="9">
        <v>2.4534722222222225</v>
      </c>
      <c r="D20" s="9">
        <v>2.5256944444444445</v>
      </c>
      <c r="E20" s="9">
        <v>2.072222222222222</v>
      </c>
      <c r="F20" s="9"/>
      <c r="G20" s="9"/>
      <c r="H20" s="8">
        <v>2.166666666666667</v>
      </c>
      <c r="I20" s="10">
        <f>iferror(if(H20&gt;G20, H20-G20, G20-H20), "")</f>
        <v>25569.1875</v>
      </c>
      <c r="J20" s="11">
        <f>iferror(vlookup(A20, Calendar!$A$2:$C$261, 3, 0), "")</f>
      </c>
      <c r="K20" s="12">
        <f>if(C20&gt;D20, "NO CHECK-OUT", "")</f>
      </c>
      <c r="L20" s="13">
        <f>iferror(if(G20="", L19, if(G20="ATTENTION", L19-H20, if(H20&gt;G20, L19-I20, L19+I20))), "")</f>
        <v>25569.1875</v>
      </c>
    </row>
    <row x14ac:dyDescent="0.25" r="21" customHeight="1" ht="17.25">
      <c r="A21" s="6">
        <v>45677</v>
      </c>
      <c r="B21" s="7" t="s">
        <v>18</v>
      </c>
      <c r="C21" s="8"/>
      <c r="D21" s="8"/>
      <c r="E21" s="8"/>
      <c r="F21" s="8">
        <v>2.020833333333333</v>
      </c>
      <c r="G21" s="16" t="s">
        <v>14</v>
      </c>
      <c r="H21" s="8">
        <v>2.166666666666667</v>
      </c>
      <c r="I21" s="10">
        <f>iferror(if(H21&gt;G21, H21-G21, G21-H21), "")</f>
        <v>25569.1875</v>
      </c>
      <c r="J21" s="11">
        <f>iferror(vlookup(A21, Calendar!$A$2:$C$261, 3, 0), "")</f>
      </c>
      <c r="K21" s="12">
        <f>if(C21&gt;D21, "NO CHECK-OUT", "")</f>
      </c>
      <c r="L21" s="13">
        <f>iferror(if(G21="", L20, if(G21="ATTENTION", L20-H21, if(H21&gt;G21, L20-I21, L20+I21))), "")</f>
        <v>25569.1875</v>
      </c>
    </row>
    <row x14ac:dyDescent="0.25" r="22" customHeight="1" ht="17.25">
      <c r="A22" s="6">
        <v>45678</v>
      </c>
      <c r="B22" s="7" t="s">
        <v>19</v>
      </c>
      <c r="C22" s="8"/>
      <c r="D22" s="8"/>
      <c r="E22" s="9"/>
      <c r="F22" s="8">
        <v>2.020833333333333</v>
      </c>
      <c r="G22" s="16" t="s">
        <v>14</v>
      </c>
      <c r="H22" s="8">
        <v>2.166666666666667</v>
      </c>
      <c r="I22" s="10">
        <f>iferror(if(H22&gt;G22, H22-G22, G22-H22), "")</f>
        <v>25569.1875</v>
      </c>
      <c r="J22" s="11">
        <f>iferror(vlookup(A22, Calendar!$A$2:$C$261, 3, 0), "")</f>
      </c>
      <c r="K22" s="12">
        <f>if(C22&gt;D22, "NO CHECK-OUT", "")</f>
      </c>
      <c r="L22" s="13">
        <f>iferror(if(G22="", L21, if(G22="ATTENTION", L21-H22, if(H22&gt;G22, L21-I22, L21+I22))), "")</f>
        <v>25569.1875</v>
      </c>
    </row>
    <row x14ac:dyDescent="0.25" r="23" customHeight="1" ht="17.25">
      <c r="A23" s="6">
        <v>45679</v>
      </c>
      <c r="B23" s="14" t="s">
        <v>12</v>
      </c>
      <c r="C23" s="9">
        <v>2.363888888888889</v>
      </c>
      <c r="D23" s="9">
        <v>2.677083333333333</v>
      </c>
      <c r="E23" s="9">
        <v>2.3131944444444446</v>
      </c>
      <c r="F23" s="9">
        <v>2.020833333333333</v>
      </c>
      <c r="G23" s="9">
        <v>2.292361111111111</v>
      </c>
      <c r="H23" s="8">
        <v>2.166666666666667</v>
      </c>
      <c r="I23" s="10">
        <f>iferror(if(H23&gt;G23, H23-G23, G23-H23), "")</f>
        <v>25569.1875</v>
      </c>
      <c r="J23" s="11">
        <f>iferror(vlookup(A23, Calendar!$A$2:$C$261, 3, 0), "")</f>
      </c>
      <c r="K23" s="12">
        <f>if(C23&gt;D23, "NO CHECK-OUT", "")</f>
      </c>
      <c r="L23" s="13">
        <f>iferror(if(G23="", L22, if(G23="ATTENTION", L22-H23, if(H23&gt;G23, L22-I23, L22+I23))), "")</f>
        <v>25569.1875</v>
      </c>
    </row>
    <row x14ac:dyDescent="0.25" r="24" customHeight="1" ht="17.25">
      <c r="A24" s="6">
        <v>45680</v>
      </c>
      <c r="B24" s="14" t="s">
        <v>13</v>
      </c>
      <c r="C24" s="9">
        <v>2.384027777777778</v>
      </c>
      <c r="D24" s="9">
        <v>2.5930555555555554</v>
      </c>
      <c r="E24" s="9">
        <v>2.209027777777778</v>
      </c>
      <c r="F24" s="9">
        <v>2.020833333333333</v>
      </c>
      <c r="G24" s="9">
        <v>2.1881944444444446</v>
      </c>
      <c r="H24" s="8">
        <v>2.166666666666667</v>
      </c>
      <c r="I24" s="10">
        <f>iferror(if(H24&gt;G24, H24-G24, G24-H24), "")</f>
        <v>25569.1875</v>
      </c>
      <c r="J24" s="11">
        <f>iferror(vlookup(A24, Calendar!$A$2:$C$261, 3, 0), "")</f>
      </c>
      <c r="K24" s="12">
        <f>if(C24&gt;D24, "NO CHECK-OUT", "")</f>
      </c>
      <c r="L24" s="13">
        <f>iferror(if(G24="", L23, if(G24="ATTENTION", L23-H24, if(H24&gt;G24, L23-I24, L23+I24))), "")</f>
        <v>25569.1875</v>
      </c>
    </row>
    <row x14ac:dyDescent="0.25" r="25" customHeight="1" ht="17.25">
      <c r="A25" s="6">
        <v>45681</v>
      </c>
      <c r="B25" s="7" t="s">
        <v>15</v>
      </c>
      <c r="C25" s="8"/>
      <c r="D25" s="8"/>
      <c r="E25" s="8"/>
      <c r="F25" s="8"/>
      <c r="G25" s="8"/>
      <c r="H25" s="8">
        <v>2.166666666666667</v>
      </c>
      <c r="I25" s="10">
        <f>iferror(if(H25&gt;G25, H25-G25, G25-H25), "")</f>
        <v>25569.1875</v>
      </c>
      <c r="J25" s="11">
        <f>iferror(vlookup(A25, Calendar!$A$2:$C$261, 3, 0), "")</f>
      </c>
      <c r="K25" s="12">
        <f>if(C25&gt;D25, "NO CHECK-OUT", "")</f>
      </c>
      <c r="L25" s="13">
        <f>iferror(if(G25="", L24, if(G25="ATTENTION", L24-H25, if(H25&gt;G25, L24-I25, L24+I25))), "")</f>
        <v>25569.1875</v>
      </c>
    </row>
    <row x14ac:dyDescent="0.25" r="26" customHeight="1" ht="17.25">
      <c r="A26" s="6">
        <v>45682</v>
      </c>
      <c r="B26" s="7" t="s">
        <v>16</v>
      </c>
      <c r="C26" s="8"/>
      <c r="D26" s="8"/>
      <c r="E26" s="9"/>
      <c r="F26" s="8"/>
      <c r="G26" s="8"/>
      <c r="H26" s="8">
        <v>2.166666666666667</v>
      </c>
      <c r="I26" s="10">
        <f>iferror(if(H26&gt;G26, H26-G26, G26-H26), "")</f>
        <v>25569.1875</v>
      </c>
      <c r="J26" s="11">
        <f>iferror(vlookup(A26, Calendar!$A$2:$C$261, 3, 0), "")</f>
      </c>
      <c r="K26" s="12">
        <f>if(C26&gt;D26, "NO CHECK-OUT", "")</f>
      </c>
      <c r="L26" s="13">
        <f>iferror(if(G26="", L25, if(G26="ATTENTION", L25-H26, if(H26&gt;G26, L25-I26, L25+I26))), "")</f>
        <v>25569.1875</v>
      </c>
    </row>
    <row x14ac:dyDescent="0.25" r="27" customHeight="1" ht="17.25">
      <c r="A27" s="6">
        <v>45683</v>
      </c>
      <c r="B27" s="14" t="s">
        <v>17</v>
      </c>
      <c r="C27" s="9">
        <v>2.4611111111111112</v>
      </c>
      <c r="D27" s="9">
        <v>2.501388888888889</v>
      </c>
      <c r="E27" s="9">
        <v>2.040277777777778</v>
      </c>
      <c r="F27" s="9"/>
      <c r="G27" s="9"/>
      <c r="H27" s="8">
        <v>2.166666666666667</v>
      </c>
      <c r="I27" s="10">
        <f>iferror(if(H27&gt;G27, H27-G27, G27-H27), "")</f>
        <v>25569.1875</v>
      </c>
      <c r="J27" s="11">
        <f>iferror(vlookup(A27, Calendar!$A$2:$C$261, 3, 0), "")</f>
      </c>
      <c r="K27" s="12">
        <f>if(C27&gt;D27, "NO CHECK-OUT", "")</f>
      </c>
      <c r="L27" s="13">
        <f>iferror(if(G27="", L26, if(G27="ATTENTION", L26-H27, if(H27&gt;G27, L26-I27, L26+I27))), "")</f>
        <v>25569.1875</v>
      </c>
    </row>
    <row x14ac:dyDescent="0.25" r="28" customHeight="1" ht="17.25">
      <c r="A28" s="6">
        <v>45684</v>
      </c>
      <c r="B28" s="14" t="s">
        <v>18</v>
      </c>
      <c r="C28" s="9">
        <v>2.384722222222222</v>
      </c>
      <c r="D28" s="9">
        <v>2.5590277777777777</v>
      </c>
      <c r="E28" s="9">
        <v>2.1743055555555557</v>
      </c>
      <c r="F28" s="9">
        <v>2.020833333333333</v>
      </c>
      <c r="G28" s="9">
        <v>2.1534722222222222</v>
      </c>
      <c r="H28" s="8">
        <v>2.166666666666667</v>
      </c>
      <c r="I28" s="10">
        <f>iferror(if(H28&gt;G28, H28-G28, G28-H28), "")</f>
        <v>25569.1875</v>
      </c>
      <c r="J28" s="11">
        <f>iferror(vlookup(A28, Calendar!$A$2:$C$261, 3, 0), "")</f>
      </c>
      <c r="K28" s="12">
        <f>if(C28&gt;D28, "NO CHECK-OUT", "")</f>
      </c>
      <c r="L28" s="13">
        <f>iferror(if(G28="", L27, if(G28="ATTENTION", L27-H28, if(H28&gt;G28, L27-I28, L27+I28))), "")</f>
        <v>25569.1875</v>
      </c>
    </row>
    <row x14ac:dyDescent="0.25" r="29" customHeight="1" ht="17.25">
      <c r="A29" s="6">
        <v>45685</v>
      </c>
      <c r="B29" s="7" t="s">
        <v>19</v>
      </c>
      <c r="C29" s="8"/>
      <c r="D29" s="8"/>
      <c r="E29" s="8"/>
      <c r="F29" s="8">
        <v>2.020833333333333</v>
      </c>
      <c r="G29" s="16" t="s">
        <v>14</v>
      </c>
      <c r="H29" s="8">
        <v>2.166666666666667</v>
      </c>
      <c r="I29" s="10">
        <f>iferror(if(H29&gt;G29, H29-G29, G29-H29), "")</f>
        <v>25569.1875</v>
      </c>
      <c r="J29" s="11">
        <f>iferror(vlookup(A29, Calendar!$A$2:$C$261, 3, 0), "")</f>
      </c>
      <c r="K29" s="12">
        <f>if(C29&gt;D29, "NO CHECK-OUT", "")</f>
      </c>
      <c r="L29" s="13">
        <f>iferror(if(G29="", L28, if(G29="ATTENTION", L28-H29, if(H29&gt;G29, L28-I29, L28+I29))), "")</f>
        <v>25569.1875</v>
      </c>
    </row>
    <row x14ac:dyDescent="0.25" r="30" customHeight="1" ht="17.25">
      <c r="A30" s="6">
        <v>45686</v>
      </c>
      <c r="B30" s="7" t="s">
        <v>12</v>
      </c>
      <c r="C30" s="8">
        <v>2.386111111111111</v>
      </c>
      <c r="D30" s="8">
        <v>2.6215277777777777</v>
      </c>
      <c r="E30" s="9">
        <v>2.2354166666666666</v>
      </c>
      <c r="F30" s="8">
        <v>2.020833333333333</v>
      </c>
      <c r="G30" s="8">
        <v>2.2145833333333336</v>
      </c>
      <c r="H30" s="8">
        <v>2.166666666666667</v>
      </c>
      <c r="I30" s="10">
        <f>iferror(if(H30&gt;G30, H30-G30, G30-H30), "")</f>
        <v>25569.1875</v>
      </c>
      <c r="J30" s="11">
        <f>iferror(vlookup(A30, Calendar!$A$2:$C$261, 3, 0), "")</f>
      </c>
      <c r="K30" s="12">
        <f>if(C30&gt;D30, "NO CHECK-OUT", "")</f>
      </c>
      <c r="L30" s="13">
        <f>iferror(if(G30="", L29, if(G30="ATTENTION", L29-H30, if(H30&gt;G30, L29-I30, L29+I30))), "")</f>
        <v>25569.1875</v>
      </c>
    </row>
    <row x14ac:dyDescent="0.25" r="31" customHeight="1" ht="17.25">
      <c r="A31" s="6">
        <v>45687</v>
      </c>
      <c r="B31" s="7" t="s">
        <v>13</v>
      </c>
      <c r="C31" s="8">
        <v>2.3777777777777778</v>
      </c>
      <c r="D31" s="8">
        <v>2.5152777777777775</v>
      </c>
      <c r="E31" s="8">
        <v>2.1375</v>
      </c>
      <c r="F31" s="8">
        <v>2.020833333333333</v>
      </c>
      <c r="G31" s="8">
        <v>2.1166666666666667</v>
      </c>
      <c r="H31" s="8">
        <v>2.166666666666667</v>
      </c>
      <c r="I31" s="10">
        <f>iferror(if(H31&gt;G31, H31-G31, G31-H31), "")</f>
        <v>25569.1875</v>
      </c>
      <c r="J31" s="11">
        <f>iferror(vlookup(A31, Calendar!$A$2:$C$261, 3, 0), "")</f>
      </c>
      <c r="K31" s="12">
        <f>if(C31&gt;D31, "NO CHECK-OUT", "")</f>
      </c>
      <c r="L31" s="13">
        <f>iferror(if(G31="", L30, if(G31="ATTENTION", L30-H31, if(H31&gt;G31, L30-I31, L30+I31))), "")</f>
        <v>25569.1875</v>
      </c>
    </row>
    <row x14ac:dyDescent="0.25" r="32" customHeight="1" ht="17.25">
      <c r="A32" s="6">
        <v>45688</v>
      </c>
      <c r="B32" s="7" t="s">
        <v>15</v>
      </c>
      <c r="C32" s="8"/>
      <c r="D32" s="8"/>
      <c r="E32" s="9"/>
      <c r="F32" s="8">
        <v>2.020833333333333</v>
      </c>
      <c r="G32" s="16" t="s">
        <v>14</v>
      </c>
      <c r="H32" s="8">
        <v>2.166666666666667</v>
      </c>
      <c r="I32" s="10">
        <f>iferror(if(H32&gt;G32, H32-G32, G32-H32), "")</f>
        <v>25569.1875</v>
      </c>
      <c r="J32" s="11">
        <f>iferror(vlookup(A32, Calendar!$A$2:$C$261, 3, 0), "")</f>
      </c>
      <c r="K32" s="12">
        <f>if(C32&gt;D32, "NO CHECK-OUT", "")</f>
      </c>
      <c r="L32" s="13">
        <f>iferror(if(G32="", L31, if(G32="ATTENTION", L31-H32, if(H32&gt;G32, L31-I32, L31+I32))), "")</f>
        <v>25569.1875</v>
      </c>
    </row>
    <row x14ac:dyDescent="0.25" r="33" customHeight="1" ht="17.25">
      <c r="A33" s="6">
        <v>45689</v>
      </c>
      <c r="B33" s="14" t="s">
        <v>16</v>
      </c>
      <c r="C33" s="9"/>
      <c r="D33" s="9"/>
      <c r="E33" s="9"/>
      <c r="F33" s="9"/>
      <c r="G33" s="9"/>
      <c r="H33" s="8">
        <v>2.166666666666667</v>
      </c>
      <c r="I33" s="10">
        <f>iferror(if(H33&gt;G33, H33-G33, G33-H33), "")</f>
        <v>25569.1875</v>
      </c>
      <c r="J33" s="11">
        <f>iferror(vlookup(A33, Calendar!$A$2:$C$261, 3, 0), "")</f>
      </c>
      <c r="K33" s="12">
        <f>if(C33&gt;D33, "NO CHECK-OUT", "")</f>
      </c>
      <c r="L33" s="13">
        <f>iferror(if(G33="", L32, if(G33="ATTENTION", L32-H33, if(H33&gt;G33, L32-I33, L32+I33))), "")</f>
        <v>25569.1875</v>
      </c>
    </row>
    <row x14ac:dyDescent="0.25" r="34" customHeight="1" ht="17.25">
      <c r="A34" s="6">
        <v>45690</v>
      </c>
      <c r="B34" s="14" t="s">
        <v>17</v>
      </c>
      <c r="C34" s="9"/>
      <c r="D34" s="9"/>
      <c r="E34" s="9"/>
      <c r="F34" s="9"/>
      <c r="G34" s="9"/>
      <c r="H34" s="8">
        <v>2.166666666666667</v>
      </c>
      <c r="I34" s="10">
        <f>iferror(if(H34&gt;G34, H34-G34, G34-H34), "")</f>
        <v>25569.1875</v>
      </c>
      <c r="J34" s="11">
        <f>iferror(vlookup(A34, Calendar!$A$2:$C$261, 3, 0), "")</f>
      </c>
      <c r="K34" s="12">
        <f>if(C34&gt;D34, "NO CHECK-OUT", "")</f>
      </c>
      <c r="L34" s="13">
        <f>iferror(if(G34="", L33, if(G34="ATTENTION", L33-H34, if(H34&gt;G34, L33-I34, L33+I34))), "")</f>
        <v>25569.1875</v>
      </c>
    </row>
    <row x14ac:dyDescent="0.25" r="35" customHeight="1" ht="17.25">
      <c r="A35" s="6">
        <v>45691</v>
      </c>
      <c r="B35" s="7" t="s">
        <v>15</v>
      </c>
      <c r="C35" s="8"/>
      <c r="D35" s="8"/>
      <c r="E35" s="8"/>
      <c r="F35" s="8">
        <v>2.020833333333333</v>
      </c>
      <c r="G35" s="16" t="s">
        <v>14</v>
      </c>
      <c r="H35" s="8">
        <v>2.166666666666667</v>
      </c>
      <c r="I35" s="10">
        <f>iferror(if(H35&gt;G35, H35-G35, G35-H35), "")</f>
        <v>25569.1875</v>
      </c>
      <c r="J35" s="11">
        <f>iferror(vlookup(A35, Calendar!$A$2:$C$261, 3, 0), "")</f>
      </c>
      <c r="K35" s="12">
        <f>if(C35&gt;D35, "NO CHECK-OUT", "")</f>
      </c>
      <c r="L35" s="13">
        <f>iferror(if(G35="", L34, if(G35="ATTENTION", L34-H35, if(H35&gt;G35, L34-I35, L34+I35))), "")</f>
        <v>25569.1875</v>
      </c>
    </row>
    <row x14ac:dyDescent="0.25" r="36" customHeight="1" ht="17.25">
      <c r="A36" s="6">
        <v>45692</v>
      </c>
      <c r="B36" s="7" t="s">
        <v>16</v>
      </c>
      <c r="C36" s="8"/>
      <c r="D36" s="8"/>
      <c r="E36" s="9"/>
      <c r="F36" s="8"/>
      <c r="G36" s="8"/>
      <c r="H36" s="8">
        <v>2.166666666666667</v>
      </c>
      <c r="I36" s="10">
        <f>iferror(if(H36&gt;G36, H36-G36, G36-H36), "")</f>
        <v>25569.1875</v>
      </c>
      <c r="J36" s="11">
        <f>iferror(vlookup(A36, Calendar!$A$2:$C$261, 3, 0), "")</f>
      </c>
      <c r="K36" s="12">
        <f>if(C36&gt;D36, "NO CHECK-OUT", "")</f>
      </c>
      <c r="L36" s="13">
        <f>iferror(if(G36="", L35, if(G36="ATTENTION", L35-H36, if(H36&gt;G36, L35-I36, L35+I36))), "")</f>
        <v>25569.1875</v>
      </c>
    </row>
    <row x14ac:dyDescent="0.25" r="37" customHeight="1" ht="17.25">
      <c r="A37" s="6">
        <v>45693</v>
      </c>
      <c r="B37" s="14" t="s">
        <v>17</v>
      </c>
      <c r="C37" s="9"/>
      <c r="D37" s="9"/>
      <c r="E37" s="9"/>
      <c r="F37" s="9"/>
      <c r="G37" s="9"/>
      <c r="H37" s="8">
        <v>2.166666666666667</v>
      </c>
      <c r="I37" s="10">
        <f>iferror(if(H37&gt;G37, H37-G37, G37-H37), "")</f>
        <v>25569.1875</v>
      </c>
      <c r="J37" s="11">
        <f>iferror(vlookup(A37, Calendar!$A$2:$C$261, 3, 0), "")</f>
      </c>
      <c r="K37" s="12">
        <f>if(C37&gt;D37, "NO CHECK-OUT", "")</f>
      </c>
      <c r="L37" s="13">
        <f>iferror(if(G37="", L36, if(G37="ATTENTION", L36-H37, if(H37&gt;G37, L36-I37, L36+I37))), "")</f>
        <v>25569.1875</v>
      </c>
    </row>
    <row x14ac:dyDescent="0.25" r="38" customHeight="1" ht="17.25">
      <c r="A38" s="6">
        <v>45694</v>
      </c>
      <c r="B38" s="14" t="s">
        <v>18</v>
      </c>
      <c r="C38" s="9"/>
      <c r="D38" s="9"/>
      <c r="E38" s="9"/>
      <c r="F38" s="9"/>
      <c r="G38" s="9"/>
      <c r="H38" s="8">
        <v>2.166666666666667</v>
      </c>
      <c r="I38" s="10">
        <f>iferror(if(H38&gt;G38, H38-G38, G38-H38), "")</f>
        <v>25569.1875</v>
      </c>
      <c r="J38" s="11">
        <f>iferror(vlookup(A38, Calendar!$A$2:$C$261, 3, 0), "")</f>
      </c>
      <c r="K38" s="12">
        <f>if(C38&gt;D38, "NO CHECK-OUT", "")</f>
      </c>
      <c r="L38" s="13">
        <f>iferror(if(G38="", L37, if(G38="ATTENTION", L37-H38, if(H38&gt;G38, L37-I38, L37+I38))), "")</f>
        <v>25569.1875</v>
      </c>
    </row>
    <row x14ac:dyDescent="0.25" r="39" customHeight="1" ht="17.25">
      <c r="A39" s="6">
        <v>45695</v>
      </c>
      <c r="B39" s="7" t="s">
        <v>19</v>
      </c>
      <c r="C39" s="8">
        <v>2.3555555555555556</v>
      </c>
      <c r="D39" s="8">
        <v>2.74375</v>
      </c>
      <c r="E39" s="8">
        <v>2.3881944444444443</v>
      </c>
      <c r="F39" s="8">
        <v>2.020833333333333</v>
      </c>
      <c r="G39" s="8">
        <v>2.3673611111111112</v>
      </c>
      <c r="H39" s="8">
        <v>2.166666666666667</v>
      </c>
      <c r="I39" s="10">
        <f>iferror(if(H39&gt;G39, H39-G39, G39-H39), "")</f>
        <v>25569.1875</v>
      </c>
      <c r="J39" s="11">
        <f>iferror(vlookup(A39, Calendar!$A$2:$C$261, 3, 0), "")</f>
      </c>
      <c r="K39" s="12">
        <f>if(C39&gt;D39, "NO CHECK-OUT", "")</f>
      </c>
      <c r="L39" s="13">
        <f>iferror(if(G39="", L38, if(G39="ATTENTION", L38-H39, if(H39&gt;G39, L38-I39, L38+I39))), "")</f>
        <v>25569.1875</v>
      </c>
    </row>
    <row x14ac:dyDescent="0.25" r="40" customHeight="1" ht="17.25">
      <c r="A40" s="6">
        <v>45696</v>
      </c>
      <c r="B40" s="7"/>
      <c r="C40" s="8"/>
      <c r="D40" s="8"/>
      <c r="E40" s="9"/>
      <c r="F40" s="8"/>
      <c r="G40" s="8"/>
      <c r="H40" s="8">
        <v>2.166666666666667</v>
      </c>
      <c r="I40" s="10">
        <f>iferror(if(H40&gt;G40, H40-G40, G40-H40), "")</f>
        <v>25569.1875</v>
      </c>
      <c r="J40" s="11">
        <f>iferror(vlookup(A40, Calendar!$A$2:$C$261, 3, 0), "")</f>
      </c>
      <c r="K40" s="12">
        <f>if(C40&gt;D40, "NO CHECK-OUT", "")</f>
      </c>
      <c r="L40" s="13">
        <f>iferror(if(G40="", L39, if(G40="ATTENTION", L39-H40, if(H40&gt;G40, L39-I40, L39+I40))), "")</f>
        <v>25569.1875</v>
      </c>
    </row>
    <row x14ac:dyDescent="0.25" r="41" customHeight="1" ht="17.25">
      <c r="A41" s="6">
        <v>45697</v>
      </c>
      <c r="B41" s="14"/>
      <c r="C41" s="9"/>
      <c r="D41" s="9"/>
      <c r="E41" s="9"/>
      <c r="F41" s="9"/>
      <c r="G41" s="9"/>
      <c r="H41" s="8">
        <v>2.166666666666667</v>
      </c>
      <c r="I41" s="10">
        <f>iferror(if(H41&gt;G41, H41-G41, G41-H41), "")</f>
        <v>25569.1875</v>
      </c>
      <c r="J41" s="11">
        <f>iferror(vlookup(A41, Calendar!$A$2:$C$261, 3, 0), "")</f>
      </c>
      <c r="K41" s="12">
        <f>if(C41&gt;D41, "NO CHECK-OUT", "")</f>
      </c>
      <c r="L41" s="13">
        <f>iferror(if(G41="", L40, if(G41="ATTENTION", L40-H41, if(H41&gt;G41, L40-I41, L40+I41))), "")</f>
        <v>25569.1875</v>
      </c>
    </row>
    <row x14ac:dyDescent="0.25" r="42" customHeight="1" ht="17.25">
      <c r="A42" s="6">
        <v>45698</v>
      </c>
      <c r="B42" s="14"/>
      <c r="C42" s="9"/>
      <c r="D42" s="9"/>
      <c r="E42" s="9"/>
      <c r="F42" s="9"/>
      <c r="G42" s="9"/>
      <c r="H42" s="8">
        <v>2.166666666666667</v>
      </c>
      <c r="I42" s="10">
        <f>iferror(if(H42&gt;G42, H42-G42, G42-H42), "")</f>
        <v>25569.1875</v>
      </c>
      <c r="J42" s="11">
        <f>iferror(vlookup(A42, Calendar!$A$2:$C$261, 3, 0), "")</f>
      </c>
      <c r="K42" s="12">
        <f>if(C42&gt;D42, "NO CHECK-OUT", "")</f>
      </c>
      <c r="L42" s="13">
        <f>iferror(if(G42="", L41, if(G42="ATTENTION", L41-H42, if(H42&gt;G42, L41-I42, L41+I42))), "")</f>
        <v>25569.1875</v>
      </c>
    </row>
    <row x14ac:dyDescent="0.25" r="43" customHeight="1" ht="17.25">
      <c r="A43" s="6">
        <v>45699</v>
      </c>
      <c r="B43" s="7"/>
      <c r="C43" s="8"/>
      <c r="D43" s="8"/>
      <c r="E43" s="8"/>
      <c r="F43" s="8"/>
      <c r="G43" s="8"/>
      <c r="H43" s="8">
        <v>2.166666666666667</v>
      </c>
      <c r="I43" s="10">
        <f>iferror(if(H43&gt;G43, H43-G43, G43-H43), "")</f>
        <v>25569.1875</v>
      </c>
      <c r="J43" s="11">
        <f>iferror(vlookup(A43, Calendar!$A$2:$C$261, 3, 0), "")</f>
      </c>
      <c r="K43" s="12">
        <f>if(C43&gt;D43, "NO CHECK-OUT", "")</f>
      </c>
      <c r="L43" s="13">
        <f>iferror(if(G43="", L42, if(G43="ATTENTION", L42-H43, if(H43&gt;G43, L42-I43, L42+I43))), "")</f>
        <v>25569.1875</v>
      </c>
    </row>
    <row x14ac:dyDescent="0.25" r="44" customHeight="1" ht="17.25">
      <c r="A44" s="6">
        <v>45700</v>
      </c>
      <c r="B44" s="7"/>
      <c r="C44" s="8"/>
      <c r="D44" s="8"/>
      <c r="E44" s="9"/>
      <c r="F44" s="8"/>
      <c r="G44" s="8"/>
      <c r="H44" s="8">
        <v>2.166666666666667</v>
      </c>
      <c r="I44" s="10">
        <f>iferror(if(H44&gt;G44, H44-G44, G44-H44), "")</f>
        <v>25569.1875</v>
      </c>
      <c r="J44" s="11">
        <f>iferror(vlookup(A44, Calendar!$A$2:$C$261, 3, 0), "")</f>
      </c>
      <c r="K44" s="12">
        <f>if(C44&gt;D44, "NO CHECK-OUT", "")</f>
      </c>
      <c r="L44" s="13">
        <f>iferror(if(G44="", L43, if(G44="ATTENTION", L43-H44, if(H44&gt;G44, L43-I44, L43+I44))), "")</f>
        <v>25569.1875</v>
      </c>
    </row>
    <row x14ac:dyDescent="0.25" r="45" customHeight="1" ht="17.25">
      <c r="A45" s="6">
        <v>45701</v>
      </c>
      <c r="B45" s="14"/>
      <c r="C45" s="9"/>
      <c r="D45" s="9"/>
      <c r="E45" s="9"/>
      <c r="F45" s="9"/>
      <c r="G45" s="9"/>
      <c r="H45" s="8">
        <v>2.166666666666667</v>
      </c>
      <c r="I45" s="10">
        <f>iferror(if(H45&gt;G45, H45-G45, G45-H45), "")</f>
        <v>25569.1875</v>
      </c>
      <c r="J45" s="11">
        <f>iferror(vlookup(A45, Calendar!$A$2:$C$261, 3, 0), "")</f>
      </c>
      <c r="K45" s="12">
        <f>if(C45&gt;D45, "NO CHECK-OUT", "")</f>
      </c>
      <c r="L45" s="13">
        <f>iferror(if(G45="", L44, if(G45="ATTENTION", L44-H45, if(H45&gt;G45, L44-I45, L44+I45))), "")</f>
        <v>25569.1875</v>
      </c>
    </row>
    <row x14ac:dyDescent="0.25" r="46" customHeight="1" ht="17.25">
      <c r="A46" s="6">
        <v>45702</v>
      </c>
      <c r="B46" s="14"/>
      <c r="C46" s="9"/>
      <c r="D46" s="9"/>
      <c r="E46" s="9"/>
      <c r="F46" s="9"/>
      <c r="G46" s="9"/>
      <c r="H46" s="8">
        <v>2.166666666666667</v>
      </c>
      <c r="I46" s="10">
        <f>iferror(if(H46&gt;G46, H46-G46, G46-H46), "")</f>
        <v>25569.1875</v>
      </c>
      <c r="J46" s="11">
        <f>iferror(vlookup(A46, Calendar!$A$2:$C$261, 3, 0), "")</f>
      </c>
      <c r="K46" s="12">
        <f>if(C46&gt;D46, "NO CHECK-OUT", "")</f>
      </c>
      <c r="L46" s="13">
        <f>iferror(if(G46="", L45, if(G46="ATTENTION", L45-H46, if(H46&gt;G46, L45-I46, L45+I46))), "")</f>
        <v>25569.1875</v>
      </c>
    </row>
    <row x14ac:dyDescent="0.25" r="47" customHeight="1" ht="17.25">
      <c r="A47" s="6">
        <v>45703</v>
      </c>
      <c r="B47" s="7"/>
      <c r="C47" s="8"/>
      <c r="D47" s="8"/>
      <c r="E47" s="8"/>
      <c r="F47" s="8"/>
      <c r="G47" s="8"/>
      <c r="H47" s="8">
        <v>2.166666666666667</v>
      </c>
      <c r="I47" s="10">
        <f>iferror(if(H47&gt;G47, H47-G47, G47-H47), "")</f>
        <v>25569.1875</v>
      </c>
      <c r="J47" s="11">
        <f>iferror(vlookup(A47, Calendar!$A$2:$C$261, 3, 0), "")</f>
      </c>
      <c r="K47" s="12">
        <f>if(C47&gt;D47, "NO CHECK-OUT", "")</f>
      </c>
      <c r="L47" s="13">
        <f>iferror(if(G47="", L46, if(G47="ATTENTION", L46-H47, if(H47&gt;G47, L46-I47, L46+I47))), "")</f>
        <v>25569.1875</v>
      </c>
    </row>
    <row x14ac:dyDescent="0.25" r="48" customHeight="1" ht="17.25">
      <c r="A48" s="6">
        <v>45704</v>
      </c>
      <c r="B48" s="7"/>
      <c r="C48" s="8"/>
      <c r="D48" s="8"/>
      <c r="E48" s="9"/>
      <c r="F48" s="8"/>
      <c r="G48" s="8"/>
      <c r="H48" s="8">
        <v>2.166666666666667</v>
      </c>
      <c r="I48" s="10">
        <f>iferror(if(H48&gt;G48, H48-G48, G48-H48), "")</f>
        <v>25569.1875</v>
      </c>
      <c r="J48" s="11">
        <f>iferror(vlookup(A48, Calendar!$A$2:$C$261, 3, 0), "")</f>
      </c>
      <c r="K48" s="12">
        <f>if(C48&gt;D48, "NO CHECK-OUT", "")</f>
      </c>
      <c r="L48" s="13">
        <f>iferror(if(G48="", L47, if(G48="ATTENTION", L47-H48, if(H48&gt;G48, L47-I48, L47+I48))), "")</f>
        <v>25569.1875</v>
      </c>
    </row>
    <row x14ac:dyDescent="0.25" r="49" customHeight="1" ht="17.25">
      <c r="A49" s="6">
        <v>45705</v>
      </c>
      <c r="B49" s="14"/>
      <c r="C49" s="9"/>
      <c r="D49" s="9"/>
      <c r="E49" s="9"/>
      <c r="F49" s="9"/>
      <c r="G49" s="9"/>
      <c r="H49" s="8">
        <v>2.166666666666667</v>
      </c>
      <c r="I49" s="10">
        <f>iferror(if(H49&gt;G49, H49-G49, G49-H49), "")</f>
        <v>25569.1875</v>
      </c>
      <c r="J49" s="11">
        <f>iferror(vlookup(A49, Calendar!$A$2:$C$261, 3, 0), "")</f>
      </c>
      <c r="K49" s="12">
        <f>if(C49&gt;D49, "NO CHECK-OUT", "")</f>
      </c>
      <c r="L49" s="13">
        <f>iferror(if(G49="", L48, if(G49="ATTENTION", L48-H49, if(H49&gt;G49, L48-I49, L48+I49))), "")</f>
        <v>25569.1875</v>
      </c>
    </row>
    <row x14ac:dyDescent="0.25" r="50" customHeight="1" ht="17.25">
      <c r="A50" s="6">
        <v>45706</v>
      </c>
      <c r="B50" s="14"/>
      <c r="C50" s="9"/>
      <c r="D50" s="9"/>
      <c r="E50" s="9"/>
      <c r="F50" s="9"/>
      <c r="G50" s="9"/>
      <c r="H50" s="8">
        <v>2.166666666666667</v>
      </c>
      <c r="I50" s="10">
        <f>iferror(if(H50&gt;G50, H50-G50, G50-H50), "")</f>
        <v>25569.1875</v>
      </c>
      <c r="J50" s="11">
        <f>iferror(vlookup(A50, Calendar!$A$2:$C$261, 3, 0), "")</f>
      </c>
      <c r="K50" s="12">
        <f>if(C50&gt;D50, "NO CHECK-OUT", "")</f>
      </c>
      <c r="L50" s="13">
        <f>iferror(if(G50="", L49, if(G50="ATTENTION", L49-H50, if(H50&gt;G50, L49-I50, L49+I50))), "")</f>
        <v>25569.1875</v>
      </c>
    </row>
    <row x14ac:dyDescent="0.25" r="51" customHeight="1" ht="17.25">
      <c r="A51" s="6">
        <v>45707</v>
      </c>
      <c r="B51" s="7"/>
      <c r="C51" s="8"/>
      <c r="D51" s="8"/>
      <c r="E51" s="8"/>
      <c r="F51" s="8"/>
      <c r="G51" s="8"/>
      <c r="H51" s="8">
        <v>2.166666666666667</v>
      </c>
      <c r="I51" s="10">
        <f>iferror(if(H51&gt;G51, H51-G51, G51-H51), "")</f>
        <v>25569.1875</v>
      </c>
      <c r="J51" s="11">
        <f>iferror(vlookup(A51, Calendar!$A$2:$C$261, 3, 0), "")</f>
      </c>
      <c r="K51" s="12">
        <f>if(C51&gt;D51, "NO CHECK-OUT", "")</f>
      </c>
      <c r="L51" s="13">
        <f>iferror(if(G51="", L50, if(G51="ATTENTION", L50-H51, if(H51&gt;G51, L50-I51, L50+I51))), "")</f>
        <v>25569.1875</v>
      </c>
    </row>
    <row x14ac:dyDescent="0.25" r="52" customHeight="1" ht="17.25">
      <c r="A52" s="6">
        <v>45708</v>
      </c>
      <c r="B52" s="7"/>
      <c r="C52" s="8"/>
      <c r="D52" s="8"/>
      <c r="E52" s="9"/>
      <c r="F52" s="8"/>
      <c r="G52" s="8"/>
      <c r="H52" s="8">
        <v>2.166666666666667</v>
      </c>
      <c r="I52" s="10">
        <f>iferror(if(H52&gt;G52, H52-G52, G52-H52), "")</f>
        <v>25569.1875</v>
      </c>
      <c r="J52" s="11">
        <f>iferror(vlookup(A52, Calendar!$A$2:$C$261, 3, 0), "")</f>
      </c>
      <c r="K52" s="12">
        <f>if(C52&gt;D52, "NO CHECK-OUT", "")</f>
      </c>
      <c r="L52" s="13">
        <f>iferror(if(G52="", L51, if(G52="ATTENTION", L51-H52, if(H52&gt;G52, L51-I52, L51+I52))), "")</f>
        <v>25569.1875</v>
      </c>
    </row>
    <row x14ac:dyDescent="0.25" r="53" customHeight="1" ht="17.25">
      <c r="A53" s="6">
        <v>45709</v>
      </c>
      <c r="B53" s="14"/>
      <c r="C53" s="9"/>
      <c r="D53" s="9"/>
      <c r="E53" s="9"/>
      <c r="F53" s="9"/>
      <c r="G53" s="9"/>
      <c r="H53" s="8">
        <v>2.166666666666667</v>
      </c>
      <c r="I53" s="10">
        <f>iferror(if(H53&gt;G53, H53-G53, G53-H53), "")</f>
        <v>25569.1875</v>
      </c>
      <c r="J53" s="11">
        <f>iferror(vlookup(A53, Calendar!$A$2:$C$261, 3, 0), "")</f>
      </c>
      <c r="K53" s="12">
        <f>if(C53&gt;D53, "NO CHECK-OUT", "")</f>
      </c>
      <c r="L53" s="13">
        <f>iferror(if(G53="", L52, if(G53="ATTENTION", L52-H53, if(H53&gt;G53, L52-I53, L52+I53))), "")</f>
        <v>25569.1875</v>
      </c>
    </row>
    <row x14ac:dyDescent="0.25" r="54" customHeight="1" ht="17.25">
      <c r="A54" s="6">
        <v>45710</v>
      </c>
      <c r="B54" s="14"/>
      <c r="C54" s="9"/>
      <c r="D54" s="9"/>
      <c r="E54" s="9"/>
      <c r="F54" s="9"/>
      <c r="G54" s="9"/>
      <c r="H54" s="8">
        <v>2.166666666666667</v>
      </c>
      <c r="I54" s="10">
        <f>iferror(if(H54&gt;G54, H54-G54, G54-H54), "")</f>
        <v>25569.1875</v>
      </c>
      <c r="J54" s="11">
        <f>iferror(vlookup(A54, Calendar!$A$2:$C$261, 3, 0), "")</f>
      </c>
      <c r="K54" s="12">
        <f>if(C54&gt;D54, "NO CHECK-OUT", "")</f>
      </c>
      <c r="L54" s="13">
        <f>iferror(if(G54="", L53, if(G54="ATTENTION", L53-H54, if(H54&gt;G54, L53-I54, L53+I54))), "")</f>
        <v>25569.1875</v>
      </c>
    </row>
    <row x14ac:dyDescent="0.25" r="55" customHeight="1" ht="17.25">
      <c r="A55" s="6">
        <v>45711</v>
      </c>
      <c r="B55" s="7"/>
      <c r="C55" s="8"/>
      <c r="D55" s="8"/>
      <c r="E55" s="8"/>
      <c r="F55" s="8"/>
      <c r="G55" s="8"/>
      <c r="H55" s="8">
        <v>2.166666666666667</v>
      </c>
      <c r="I55" s="10">
        <f>iferror(if(H55&gt;G55, H55-G55, G55-H55), "")</f>
        <v>25569.1875</v>
      </c>
      <c r="J55" s="11">
        <f>iferror(vlookup(A55, Calendar!$A$2:$C$261, 3, 0), "")</f>
      </c>
      <c r="K55" s="12">
        <f>if(C55&gt;D55, "NO CHECK-OUT", "")</f>
      </c>
      <c r="L55" s="13">
        <f>iferror(if(G55="", L54, if(G55="ATTENTION", L54-H55, if(H55&gt;G55, L54-I55, L54+I55))), "")</f>
        <v>25569.1875</v>
      </c>
    </row>
    <row x14ac:dyDescent="0.25" r="56" customHeight="1" ht="17.25">
      <c r="A56" s="6">
        <v>45712</v>
      </c>
      <c r="B56" s="7"/>
      <c r="C56" s="8"/>
      <c r="D56" s="8"/>
      <c r="E56" s="8"/>
      <c r="F56" s="8"/>
      <c r="G56" s="8"/>
      <c r="H56" s="8">
        <v>2.166666666666667</v>
      </c>
      <c r="I56" s="10">
        <f>iferror(if(H56&gt;G56, H56-G56, G56-H56), "")</f>
        <v>25569.1875</v>
      </c>
      <c r="J56" s="11">
        <f>iferror(vlookup(A56, Calendar!$A$2:$C$261, 3, 0), "")</f>
      </c>
      <c r="K56" s="12">
        <f>if(C56&gt;D56, "NO CHECK-OUT", "")</f>
      </c>
      <c r="L56" s="13">
        <f>iferror(if(G78="", L77, if(G78="ATTENTION", L77-H78, if(H78&gt;G78, L77-I78, L77+I78))), "")</f>
        <v>25569.1875</v>
      </c>
    </row>
    <row x14ac:dyDescent="0.25" r="57" customHeight="1" ht="17.25">
      <c r="A57" s="6">
        <v>45713</v>
      </c>
      <c r="B57" s="14"/>
      <c r="C57" s="9"/>
      <c r="D57" s="9"/>
      <c r="E57" s="9"/>
      <c r="F57" s="9"/>
      <c r="G57" s="9"/>
      <c r="H57" s="8">
        <v>2.166666666666667</v>
      </c>
      <c r="I57" s="10">
        <f>iferror(if(H57&gt;G57, H57-G57, G57-H57), "")</f>
        <v>25569.1875</v>
      </c>
      <c r="J57" s="11">
        <f>iferror(vlookup(A57, Calendar!$A$2:$C$261, 3, 0), "")</f>
      </c>
      <c r="K57" s="12">
        <f>if(C57&gt;D57, "NO CHECK-OUT", "")</f>
      </c>
      <c r="L57" s="13">
        <f>iferror(if(G79="", L78, if(G79="ATTENTION", L78-H79, if(H79&gt;G79, L78-I79, L78+I79))), "")</f>
        <v>25569.1875</v>
      </c>
    </row>
    <row x14ac:dyDescent="0.25" r="58" customHeight="1" ht="17.25">
      <c r="A58" s="6">
        <v>45714</v>
      </c>
      <c r="B58" s="14"/>
      <c r="C58" s="9"/>
      <c r="D58" s="9"/>
      <c r="E58" s="9"/>
      <c r="F58" s="9"/>
      <c r="G58" s="9"/>
      <c r="H58" s="8">
        <v>2.166666666666667</v>
      </c>
      <c r="I58" s="10">
        <f>iferror(if(H58&gt;G58, H58-G58, G58-H58), "")</f>
        <v>25569.1875</v>
      </c>
      <c r="J58" s="11">
        <f>iferror(vlookup(A58, Calendar!$A$2:$C$261, 3, 0), "")</f>
      </c>
      <c r="K58" s="12">
        <f>if(C58&gt;D58, "NO CHECK-OUT", "")</f>
      </c>
      <c r="L58" s="13">
        <f>iferror(if(G80="", L79, if(G80="ATTENTION", L79-H80, if(H80&gt;G80, L79-I80, L79+I80))), "")</f>
        <v>25569.1875</v>
      </c>
    </row>
    <row x14ac:dyDescent="0.25" r="59" customHeight="1" ht="17.25">
      <c r="A59" s="6">
        <v>45715</v>
      </c>
      <c r="B59" s="7"/>
      <c r="C59" s="8"/>
      <c r="D59" s="8"/>
      <c r="E59" s="8"/>
      <c r="F59" s="8"/>
      <c r="G59" s="8"/>
      <c r="H59" s="8">
        <v>2.166666666666667</v>
      </c>
      <c r="I59" s="10">
        <f>iferror(if(H59&gt;G59, H59-G59, G59-H59), "")</f>
        <v>25569.1875</v>
      </c>
      <c r="J59" s="11">
        <f>iferror(vlookup(A59, Calendar!$A$2:$C$261, 3, 0), "")</f>
      </c>
      <c r="K59" s="12">
        <f>if(C59&gt;D59, "NO CHECK-OUT", "")</f>
      </c>
      <c r="L59" s="13">
        <f>iferror(if(G81="", L80, if(G81="ATTENTION", L80-H81, if(H81&gt;G81, L80-I81, L80+I81))), "")</f>
        <v>25569.1875</v>
      </c>
    </row>
    <row x14ac:dyDescent="0.25" r="60" customHeight="1" ht="17.25">
      <c r="A60" s="6">
        <v>45716</v>
      </c>
      <c r="B60" s="14"/>
      <c r="C60" s="9"/>
      <c r="D60" s="9"/>
      <c r="E60" s="9"/>
      <c r="F60" s="9"/>
      <c r="G60" s="9"/>
      <c r="H60" s="8">
        <v>2.166666666666667</v>
      </c>
      <c r="I60" s="10">
        <f>iferror(if(H60&gt;G60, H60-G60, G60-H60), "")</f>
        <v>25569.1875</v>
      </c>
      <c r="J60" s="11">
        <f>iferror(vlookup(A60, Calendar!$A$2:$C$261, 3, 0), "")</f>
      </c>
      <c r="K60" s="12">
        <f>if(C60&gt;D60, "NO CHECK-OUT", "")</f>
      </c>
      <c r="L60" s="13">
        <f>iferror(if(G82="", L81, if(G82="ATTENTION", L81-H82, if(H82&gt;G82, L81-I82, L81+I82))), "")</f>
        <v>25569.1875</v>
      </c>
    </row>
    <row x14ac:dyDescent="0.25" r="61" customHeight="1" ht="17.25">
      <c r="A61" s="6">
        <v>45717</v>
      </c>
      <c r="B61" s="14"/>
      <c r="C61" s="9"/>
      <c r="D61" s="9"/>
      <c r="E61" s="9"/>
      <c r="F61" s="9"/>
      <c r="G61" s="9"/>
      <c r="H61" s="8">
        <v>2.166666666666667</v>
      </c>
      <c r="I61" s="10">
        <f>iferror(if(H61&gt;G61, H61-G61, G61-H61), "")</f>
        <v>25569.1875</v>
      </c>
      <c r="J61" s="11">
        <f>iferror(vlookup(A61, Calendar!$A$2:$C$261, 3, 0), "")</f>
      </c>
      <c r="K61" s="12">
        <f>if(C61&gt;D61, "NO CHECK-OUT", "")</f>
      </c>
      <c r="L61" s="13">
        <f>iferror(if(G83="", L82, if(G83="ATTENTION", L82-H83, if(H83&gt;G83, L82-I83, L82+I83))), "")</f>
        <v>25569.1875</v>
      </c>
    </row>
    <row x14ac:dyDescent="0.25" r="62" customHeight="1" ht="17.25">
      <c r="A62" s="6">
        <v>45718</v>
      </c>
      <c r="B62" s="7"/>
      <c r="C62" s="8"/>
      <c r="D62" s="8"/>
      <c r="E62" s="8"/>
      <c r="F62" s="8"/>
      <c r="G62" s="8"/>
      <c r="H62" s="8">
        <v>2.166666666666667</v>
      </c>
      <c r="I62" s="10">
        <f>iferror(if(H62&gt;G62, H62-G62, G62-H62), "")</f>
        <v>25569.1875</v>
      </c>
      <c r="J62" s="11">
        <f>iferror(vlookup(A62, Calendar!$A$2:$C$261, 3, 0), "")</f>
      </c>
      <c r="K62" s="12">
        <f>if(C62&gt;D62, "NO CHECK-OUT", "")</f>
      </c>
      <c r="L62" s="13">
        <f>iferror(if(G84="", L83, if(G84="ATTENTION", L83-H84, if(H84&gt;G84, L83-I84, L83+I84))), "")</f>
        <v>25569.1875</v>
      </c>
    </row>
    <row x14ac:dyDescent="0.25" r="63" customHeight="1" ht="17.25">
      <c r="A63" s="6">
        <v>45719</v>
      </c>
      <c r="B63" s="14"/>
      <c r="C63" s="9"/>
      <c r="D63" s="9"/>
      <c r="E63" s="9"/>
      <c r="F63" s="9"/>
      <c r="G63" s="9"/>
      <c r="H63" s="8">
        <v>2.166666666666667</v>
      </c>
      <c r="I63" s="10">
        <f>iferror(if(H63&gt;G63, H63-G63, G63-H63), "")</f>
        <v>25569.1875</v>
      </c>
      <c r="J63" s="11">
        <f>iferror(vlookup(A63, Calendar!$A$2:$C$261, 3, 0), "")</f>
      </c>
      <c r="K63" s="12">
        <f>if(C63&gt;D63, "NO CHECK-OUT", "")</f>
      </c>
      <c r="L63" s="13">
        <f>iferror(if(G85="", L84, if(G85="ATTENTION", L84-H85, if(H85&gt;G85, L84-I85, L84+I85))), "")</f>
        <v>25569.1875</v>
      </c>
    </row>
    <row x14ac:dyDescent="0.25" r="64" customHeight="1" ht="17.25">
      <c r="A64" s="6">
        <v>45720</v>
      </c>
      <c r="B64" s="14"/>
      <c r="C64" s="9"/>
      <c r="D64" s="9"/>
      <c r="E64" s="9"/>
      <c r="F64" s="9"/>
      <c r="G64" s="9"/>
      <c r="H64" s="8">
        <v>2.166666666666667</v>
      </c>
      <c r="I64" s="10">
        <f>iferror(if(H64&gt;G64, H64-G64, G64-H64), "")</f>
        <v>25569.1875</v>
      </c>
      <c r="J64" s="11">
        <f>iferror(vlookup(A64, Calendar!$A$2:$C$261, 3, 0), "")</f>
      </c>
      <c r="K64" s="12">
        <f>if(C64&gt;D64, "NO CHECK-OUT", "")</f>
      </c>
      <c r="L64" s="13">
        <f>iferror(if(G86="", L85, if(G86="ATTENTION", L85-H86, if(H86&gt;G86, L85-I86, L85+I86))), "")</f>
        <v>25569.1875</v>
      </c>
    </row>
    <row x14ac:dyDescent="0.25" r="65" customHeight="1" ht="17.25">
      <c r="A65" s="6">
        <v>45721</v>
      </c>
      <c r="B65" s="14"/>
      <c r="C65" s="9"/>
      <c r="D65" s="9"/>
      <c r="E65" s="9"/>
      <c r="F65" s="9"/>
      <c r="G65" s="9"/>
      <c r="H65" s="8">
        <v>2.166666666666667</v>
      </c>
      <c r="I65" s="10">
        <f>iferror(if(H65&gt;G65, H65-G65, G65-H65), "")</f>
        <v>25569.1875</v>
      </c>
      <c r="J65" s="11">
        <f>iferror(vlookup(A65, Calendar!$A$2:$C$261, 3, 0), "")</f>
      </c>
      <c r="K65" s="12">
        <f>if(C65&gt;D65, "NO CHECK-OUT", "")</f>
      </c>
      <c r="L65" s="13">
        <f>iferror(if(G87="", L86, if(G87="ATTENTION", L86-H87, if(H87&gt;G87, L86-I87, L86+I87))), "")</f>
        <v>25569.1875</v>
      </c>
    </row>
    <row x14ac:dyDescent="0.25" r="66" customHeight="1" ht="17.25">
      <c r="A66" s="6">
        <v>45722</v>
      </c>
      <c r="B66" s="14"/>
      <c r="C66" s="9"/>
      <c r="D66" s="9"/>
      <c r="E66" s="9"/>
      <c r="F66" s="9"/>
      <c r="G66" s="9"/>
      <c r="H66" s="8">
        <v>2.166666666666667</v>
      </c>
      <c r="I66" s="10">
        <f>iferror(if(H66&gt;G66, H66-G66, G66-H66), "")</f>
        <v>25569.1875</v>
      </c>
      <c r="J66" s="11">
        <f>iferror(vlookup(A66, Calendar!$A$2:$C$261, 3, 0), "")</f>
      </c>
      <c r="K66" s="12">
        <f>if(C66&gt;D66, "NO CHECK-OUT", "")</f>
      </c>
      <c r="L66" s="13">
        <f>iferror(if(G88="", L87, if(G88="ATTENTION", L87-H88, if(H88&gt;G88, L87-I88, L87+I88))), "")</f>
        <v>25569.1875</v>
      </c>
    </row>
    <row x14ac:dyDescent="0.25" r="67" customHeight="1" ht="17.25">
      <c r="A67" s="6">
        <v>45723</v>
      </c>
      <c r="B67" s="14"/>
      <c r="C67" s="9"/>
      <c r="D67" s="9"/>
      <c r="E67" s="9"/>
      <c r="F67" s="9"/>
      <c r="G67" s="9"/>
      <c r="H67" s="8">
        <v>2.166666666666667</v>
      </c>
      <c r="I67" s="10">
        <f>iferror(if(H67&gt;G67, H67-G67, G67-H67), "")</f>
        <v>25569.1875</v>
      </c>
      <c r="J67" s="11">
        <f>iferror(vlookup(A67, Calendar!$A$2:$C$261, 3, 0), "")</f>
      </c>
      <c r="K67" s="12">
        <f>if(C67&gt;D67, "NO CHECK-OUT", "")</f>
      </c>
      <c r="L67" s="13">
        <f>iferror(if(G89="", L88, if(G89="ATTENTION", L88-H89, if(H89&gt;G89, L88-I89, L88+I89))), "")</f>
        <v>25569.1875</v>
      </c>
    </row>
    <row x14ac:dyDescent="0.25" r="68" customHeight="1" ht="17.25">
      <c r="A68" s="6">
        <v>45724</v>
      </c>
      <c r="B68" s="14"/>
      <c r="C68" s="9"/>
      <c r="D68" s="9"/>
      <c r="E68" s="9"/>
      <c r="F68" s="9"/>
      <c r="G68" s="9"/>
      <c r="H68" s="8">
        <v>2.166666666666667</v>
      </c>
      <c r="I68" s="10">
        <f>iferror(if(H68&gt;G68, H68-G68, G68-H68), "")</f>
        <v>25569.1875</v>
      </c>
      <c r="J68" s="11">
        <f>iferror(vlookup(A68, Calendar!$A$2:$C$261, 3, 0), "")</f>
      </c>
      <c r="K68" s="12">
        <f>if(C68&gt;D68, "NO CHECK-OUT", "")</f>
      </c>
      <c r="L68" s="13">
        <f>iferror(if(G68="", L67, if(G68="ATTENTION", L67-H68, if(H68&gt;G68, L67-I68, L67+I68))), "")</f>
        <v>25569.1875</v>
      </c>
    </row>
    <row x14ac:dyDescent="0.25" r="69" customHeight="1" ht="17.25">
      <c r="A69" s="6">
        <v>45725</v>
      </c>
      <c r="B69" s="14"/>
      <c r="C69" s="9"/>
      <c r="D69" s="9"/>
      <c r="E69" s="9"/>
      <c r="F69" s="9"/>
      <c r="G69" s="9"/>
      <c r="H69" s="8">
        <v>2.166666666666667</v>
      </c>
      <c r="I69" s="10">
        <f>iferror(if(H69&gt;G69, H69-G69, G69-H69), "")</f>
        <v>25569.1875</v>
      </c>
      <c r="J69" s="11">
        <f>iferror(vlookup(A69, Calendar!$A$2:$C$261, 3, 0), "")</f>
      </c>
      <c r="K69" s="12">
        <f>if(C69&gt;D69, "NO CHECK-OUT", "")</f>
      </c>
      <c r="L69" s="13">
        <f>iferror(if(G69="", L68, if(G69="ATTENTION", L68-H69, if(H69&gt;G69, L68-I69, L68+I69))), "")</f>
        <v>25569.1875</v>
      </c>
    </row>
    <row x14ac:dyDescent="0.25" r="70" customHeight="1" ht="17.25">
      <c r="A70" s="6">
        <v>45726</v>
      </c>
      <c r="B70" s="14"/>
      <c r="C70" s="9"/>
      <c r="D70" s="9"/>
      <c r="E70" s="9"/>
      <c r="F70" s="9"/>
      <c r="G70" s="9"/>
      <c r="H70" s="8">
        <v>2.166666666666667</v>
      </c>
      <c r="I70" s="10">
        <f>iferror(if(H70&gt;G70, H70-G70, G70-H70), "")</f>
        <v>25569.1875</v>
      </c>
      <c r="J70" s="11">
        <f>iferror(vlookup(A70, Calendar!$A$2:$C$261, 3, 0), "")</f>
      </c>
      <c r="K70" s="12">
        <f>if(C70&gt;D70, "NO CHECK-OUT", "")</f>
      </c>
      <c r="L70" s="13">
        <f>iferror(if(G70="", L69, if(G70="ATTENTION", L69-H70, if(H70&gt;G70, L69-I70, L69+I70))), "")</f>
        <v>25569.1875</v>
      </c>
    </row>
    <row x14ac:dyDescent="0.25" r="71" customHeight="1" ht="17.25">
      <c r="A71" s="6">
        <v>45727</v>
      </c>
      <c r="B71" s="14"/>
      <c r="C71" s="9"/>
      <c r="D71" s="9"/>
      <c r="E71" s="9"/>
      <c r="F71" s="9"/>
      <c r="G71" s="9"/>
      <c r="H71" s="8">
        <v>2.166666666666667</v>
      </c>
      <c r="I71" s="10">
        <f>iferror(if(H71&gt;G71, H71-G71, G71-H71), "")</f>
        <v>25569.1875</v>
      </c>
      <c r="J71" s="11">
        <f>iferror(vlookup(A71, Calendar!$A$2:$C$261, 3, 0), "")</f>
      </c>
      <c r="K71" s="12">
        <f>if(C71&gt;D71, "NO CHECK-OUT", "")</f>
      </c>
      <c r="L71" s="13">
        <f>iferror(if(G71="", L70, if(G71="ATTENTION", L70-H71, if(H71&gt;G71, L70-I71, L70+I71))), "")</f>
        <v>25569.1875</v>
      </c>
    </row>
    <row x14ac:dyDescent="0.25" r="72" customHeight="1" ht="17.25">
      <c r="A72" s="6">
        <v>45728</v>
      </c>
      <c r="B72" s="14"/>
      <c r="C72" s="9"/>
      <c r="D72" s="9"/>
      <c r="E72" s="9"/>
      <c r="F72" s="9"/>
      <c r="G72" s="9"/>
      <c r="H72" s="8">
        <v>2.166666666666667</v>
      </c>
      <c r="I72" s="10">
        <f>iferror(if(H72&gt;G72, H72-G72, G72-H72), "")</f>
        <v>25569.1875</v>
      </c>
      <c r="J72" s="11">
        <f>iferror(vlookup(A72, Calendar!$A$2:$C$261, 3, 0), "")</f>
      </c>
      <c r="K72" s="12">
        <f>if(C72&gt;D72, "NO CHECK-OUT", "")</f>
      </c>
      <c r="L72" s="13">
        <f>iferror(if(G72="", L71, if(G72="ATTENTION", L71-H72, if(H72&gt;G72, L71-I72, L71+I72))), "")</f>
        <v>25569.1875</v>
      </c>
    </row>
    <row x14ac:dyDescent="0.25" r="73" customHeight="1" ht="17.25">
      <c r="A73" s="6">
        <v>45729</v>
      </c>
      <c r="B73" s="14"/>
      <c r="C73" s="9"/>
      <c r="D73" s="9"/>
      <c r="E73" s="9"/>
      <c r="F73" s="9"/>
      <c r="G73" s="9"/>
      <c r="H73" s="8">
        <v>2.166666666666667</v>
      </c>
      <c r="I73" s="10">
        <f>iferror(if(H73&gt;G73, H73-G73, G73-H73), "")</f>
        <v>25569.1875</v>
      </c>
      <c r="J73" s="11">
        <f>iferror(vlookup(A73, Calendar!$A$2:$C$261, 3, 0), "")</f>
      </c>
      <c r="K73" s="12">
        <f>if(C73&gt;D73, "NO CHECK-OUT", "")</f>
      </c>
      <c r="L73" s="13">
        <f>iferror(if(G73="", L72, if(G73="ATTENTION", L72-H73, if(H73&gt;G73, L72-I73, L72+I73))), "")</f>
        <v>25569.1875</v>
      </c>
    </row>
    <row x14ac:dyDescent="0.25" r="74" customHeight="1" ht="17.25">
      <c r="A74" s="6">
        <v>45730</v>
      </c>
      <c r="B74" s="14"/>
      <c r="C74" s="9"/>
      <c r="D74" s="9"/>
      <c r="E74" s="9"/>
      <c r="F74" s="9"/>
      <c r="G74" s="9"/>
      <c r="H74" s="8">
        <v>2.166666666666667</v>
      </c>
      <c r="I74" s="10">
        <f>iferror(if(H74&gt;G74, H74-G74, G74-H74), "")</f>
        <v>25569.1875</v>
      </c>
      <c r="J74" s="11">
        <f>iferror(vlookup(A74, Calendar!$A$2:$C$261, 3, 0), "")</f>
      </c>
      <c r="K74" s="12">
        <f>if(C74&gt;D74, "NO CHECK-OUT", "")</f>
      </c>
      <c r="L74" s="13">
        <f>iferror(if(G74="", L73, if(G74="ATTENTION", L73-H74, if(H74&gt;G74, L73-I74, L73+I74))), "")</f>
        <v>25569.1875</v>
      </c>
    </row>
    <row x14ac:dyDescent="0.25" r="75" customHeight="1" ht="17.25">
      <c r="A75" s="6">
        <v>45731</v>
      </c>
      <c r="B75" s="14"/>
      <c r="C75" s="9"/>
      <c r="D75" s="9"/>
      <c r="E75" s="9"/>
      <c r="F75" s="9"/>
      <c r="G75" s="9"/>
      <c r="H75" s="8">
        <v>2.166666666666667</v>
      </c>
      <c r="I75" s="10">
        <f>iferror(if(H75&gt;G75, H75-G75, G75-H75), "")</f>
        <v>25569.1875</v>
      </c>
      <c r="J75" s="11">
        <f>iferror(vlookup(A75, Calendar!$A$2:$C$261, 3, 0), "")</f>
      </c>
      <c r="K75" s="12">
        <f>if(C75&gt;D75, "NO CHECK-OUT", "")</f>
      </c>
      <c r="L75" s="13">
        <f>iferror(if(G75="", L74, if(G75="ATTENTION", L74-H75, if(H75&gt;G75, L74-I75, L74+I75))), "")</f>
        <v>25569.1875</v>
      </c>
    </row>
    <row x14ac:dyDescent="0.25" r="76" customHeight="1" ht="17.25">
      <c r="A76" s="6">
        <v>45732</v>
      </c>
      <c r="B76" s="14"/>
      <c r="C76" s="9"/>
      <c r="D76" s="9"/>
      <c r="E76" s="9"/>
      <c r="F76" s="9"/>
      <c r="G76" s="9"/>
      <c r="H76" s="8">
        <v>2.166666666666667</v>
      </c>
      <c r="I76" s="10">
        <f>iferror(if(H76&gt;G76, H76-G76, G76-H76), "")</f>
        <v>25569.1875</v>
      </c>
      <c r="J76" s="11">
        <f>iferror(vlookup(A76, Calendar!$A$2:$C$261, 3, 0), "")</f>
      </c>
      <c r="K76" s="12">
        <f>if(C76&gt;D76, "NO CHECK-OUT", "")</f>
      </c>
      <c r="L76" s="13">
        <f>iferror(if(G76="", L75, if(G76="ATTENTION", L75-H76, if(H76&gt;G76, L75-I76, L75+I76))), "")</f>
        <v>25569.1875</v>
      </c>
    </row>
    <row x14ac:dyDescent="0.25" r="77" customHeight="1" ht="17.25">
      <c r="A77" s="6">
        <v>45733</v>
      </c>
      <c r="B77" s="14"/>
      <c r="C77" s="9"/>
      <c r="D77" s="9"/>
      <c r="E77" s="9"/>
      <c r="F77" s="9"/>
      <c r="G77" s="9"/>
      <c r="H77" s="8">
        <v>2.166666666666667</v>
      </c>
      <c r="I77" s="10">
        <f>iferror(if(H77&gt;G77, H77-G77, G77-H77), "")</f>
        <v>25569.1875</v>
      </c>
      <c r="J77" s="11">
        <f>iferror(vlookup(A77, Calendar!$A$2:$C$261, 3, 0), "")</f>
      </c>
      <c r="K77" s="12">
        <f>if(C77&gt;D77, "NO CHECK-OUT", "")</f>
      </c>
      <c r="L77" s="13">
        <f>iferror(if(G77="", L76, if(G77="ATTENTION", L76-H77, if(H77&gt;G77, L76-I77, L76+I77))), "")</f>
        <v>25569.1875</v>
      </c>
    </row>
    <row x14ac:dyDescent="0.25" r="78" customHeight="1" ht="17.25">
      <c r="A78" s="6">
        <v>45734</v>
      </c>
      <c r="B78" s="14"/>
      <c r="C78" s="9"/>
      <c r="D78" s="9"/>
      <c r="E78" s="9"/>
      <c r="F78" s="9"/>
      <c r="G78" s="9"/>
      <c r="H78" s="8">
        <v>2.166666666666667</v>
      </c>
      <c r="I78" s="10">
        <f>iferror(if(H78&gt;G78, H78-G78, G78-H78), "")</f>
        <v>25569.1875</v>
      </c>
      <c r="J78" s="11">
        <f>iferror(vlookup(A78, Calendar!$A$2:$C$261, 3, 0), "")</f>
      </c>
      <c r="K78" s="12">
        <f>if(C78&gt;D78, "NO CHECK-OUT", "")</f>
      </c>
      <c r="L78" s="13">
        <f>iferror(if(G78="", L77, if(G78="ATTENTION", L77-H78, if(H78&gt;G78, L77-I78, L77+I78))), "")</f>
        <v>25569.1875</v>
      </c>
    </row>
    <row x14ac:dyDescent="0.25" r="79" customHeight="1" ht="17.25">
      <c r="A79" s="6">
        <v>45735</v>
      </c>
      <c r="B79" s="14"/>
      <c r="C79" s="9"/>
      <c r="D79" s="9"/>
      <c r="E79" s="9"/>
      <c r="F79" s="9"/>
      <c r="G79" s="9"/>
      <c r="H79" s="8">
        <v>2.166666666666667</v>
      </c>
      <c r="I79" s="10">
        <f>iferror(if(H79&gt;G79, H79-G79, G79-H79), "")</f>
        <v>25569.1875</v>
      </c>
      <c r="J79" s="11">
        <f>iferror(vlookup(A79, Calendar!$A$2:$C$261, 3, 0), "")</f>
      </c>
      <c r="K79" s="12">
        <f>if(C79&gt;D79, "NO CHECK-OUT", "")</f>
      </c>
      <c r="L79" s="13">
        <f>iferror(if(G79="", L78, if(G79="ATTENTION", L78-H79, if(H79&gt;G79, L78-I79, L78+I79))), "")</f>
        <v>25569.1875</v>
      </c>
    </row>
    <row x14ac:dyDescent="0.25" r="80" customHeight="1" ht="17.25">
      <c r="A80" s="6">
        <v>45736</v>
      </c>
      <c r="B80" s="14"/>
      <c r="C80" s="9"/>
      <c r="D80" s="9"/>
      <c r="E80" s="9"/>
      <c r="F80" s="9"/>
      <c r="G80" s="9"/>
      <c r="H80" s="8">
        <v>2.166666666666667</v>
      </c>
      <c r="I80" s="10">
        <f>iferror(if(H80&gt;G80, H80-G80, G80-H80), "")</f>
        <v>25569.1875</v>
      </c>
      <c r="J80" s="11">
        <f>iferror(vlookup(A80, Calendar!$A$2:$C$261, 3, 0), "")</f>
      </c>
      <c r="K80" s="12">
        <f>if(C80&gt;D80, "NO CHECK-OUT", "")</f>
      </c>
      <c r="L80" s="13">
        <f>iferror(if(G80="", L79, if(G80="ATTENTION", L79-H80, if(H80&gt;G80, L79-I80, L79+I80))), "")</f>
        <v>25569.1875</v>
      </c>
    </row>
    <row x14ac:dyDescent="0.25" r="81" customHeight="1" ht="17.25">
      <c r="A81" s="6">
        <v>45737</v>
      </c>
      <c r="B81" s="14"/>
      <c r="C81" s="9"/>
      <c r="D81" s="9"/>
      <c r="E81" s="9"/>
      <c r="F81" s="9"/>
      <c r="G81" s="9"/>
      <c r="H81" s="8">
        <v>2.166666666666667</v>
      </c>
      <c r="I81" s="10">
        <f>iferror(if(H81&gt;G81, H81-G81, G81-H81), "")</f>
        <v>25569.1875</v>
      </c>
      <c r="J81" s="11">
        <f>iferror(vlookup(A81, Calendar!$A$2:$C$261, 3, 0), "")</f>
      </c>
      <c r="K81" s="12">
        <f>if(C81&gt;D81, "NO CHECK-OUT", "")</f>
      </c>
      <c r="L81" s="13">
        <f>iferror(if(G81="", L80, if(G81="ATTENTION", L80-H81, if(H81&gt;G81, L80-I81, L80+I81))), "")</f>
        <v>25569.1875</v>
      </c>
    </row>
    <row x14ac:dyDescent="0.25" r="82" customHeight="1" ht="17.25">
      <c r="A82" s="6">
        <v>45738</v>
      </c>
      <c r="B82" s="14"/>
      <c r="C82" s="9"/>
      <c r="D82" s="9"/>
      <c r="E82" s="9"/>
      <c r="F82" s="9"/>
      <c r="G82" s="9"/>
      <c r="H82" s="8">
        <v>2.166666666666667</v>
      </c>
      <c r="I82" s="10">
        <f>iferror(if(H82&gt;G82, H82-G82, G82-H82), "")</f>
        <v>25569.1875</v>
      </c>
      <c r="J82" s="11">
        <f>iferror(vlookup(A82, Calendar!$A$2:$C$261, 3, 0), "")</f>
      </c>
      <c r="K82" s="12">
        <f>if(C82&gt;D82, "NO CHECK-OUT", "")</f>
      </c>
      <c r="L82" s="13">
        <f>iferror(if(G82="", L81, if(G82="ATTENTION", L81-H82, if(H82&gt;G82, L81-I82, L81+I82))), "")</f>
        <v>25569.1875</v>
      </c>
    </row>
    <row x14ac:dyDescent="0.25" r="83" customHeight="1" ht="17.25">
      <c r="A83" s="6">
        <v>45739</v>
      </c>
      <c r="B83" s="14"/>
      <c r="C83" s="9"/>
      <c r="D83" s="9"/>
      <c r="E83" s="9"/>
      <c r="F83" s="9"/>
      <c r="G83" s="9"/>
      <c r="H83" s="8">
        <v>2.166666666666667</v>
      </c>
      <c r="I83" s="10">
        <f>iferror(if(H83&gt;G83, H83-G83, G83-H83), "")</f>
        <v>25569.1875</v>
      </c>
      <c r="J83" s="11">
        <f>iferror(vlookup(A83, Calendar!$A$2:$C$261, 3, 0), "")</f>
      </c>
      <c r="K83" s="12">
        <f>if(C83&gt;D83, "NO CHECK-OUT", "")</f>
      </c>
      <c r="L83" s="13">
        <f>iferror(if(G83="", L82, if(G83="ATTENTION", L82-H83, if(H83&gt;G83, L82-I83, L82+I83))), "")</f>
        <v>25569.1875</v>
      </c>
    </row>
    <row x14ac:dyDescent="0.25" r="84" customHeight="1" ht="17.25">
      <c r="A84" s="6">
        <v>45740</v>
      </c>
      <c r="B84" s="14"/>
      <c r="C84" s="9"/>
      <c r="D84" s="9"/>
      <c r="E84" s="9"/>
      <c r="F84" s="9"/>
      <c r="G84" s="9"/>
      <c r="H84" s="8">
        <v>2.166666666666667</v>
      </c>
      <c r="I84" s="10">
        <f>iferror(if(H84&gt;G84, H84-G84, G84-H84), "")</f>
        <v>25569.1875</v>
      </c>
      <c r="J84" s="11">
        <f>iferror(vlookup(A84, Calendar!$A$2:$C$261, 3, 0), "")</f>
      </c>
      <c r="K84" s="12">
        <f>if(C84&gt;D84, "NO CHECK-OUT", "")</f>
      </c>
      <c r="L84" s="13">
        <f>iferror(if(G84="", L83, if(G84="ATTENTION", L83-H84, if(H84&gt;G84, L83-I84, L83+I84))), "")</f>
        <v>25569.1875</v>
      </c>
    </row>
    <row x14ac:dyDescent="0.25" r="85" customHeight="1" ht="17.25">
      <c r="A85" s="6">
        <v>45741</v>
      </c>
      <c r="B85" s="14"/>
      <c r="C85" s="9"/>
      <c r="D85" s="9"/>
      <c r="E85" s="9"/>
      <c r="F85" s="9"/>
      <c r="G85" s="9"/>
      <c r="H85" s="8">
        <v>2.166666666666667</v>
      </c>
      <c r="I85" s="10">
        <f>iferror(if(H85&gt;G85, H85-G85, G85-H85), "")</f>
        <v>25569.1875</v>
      </c>
      <c r="J85" s="11">
        <f>iferror(vlookup(A85, Calendar!$A$2:$C$261, 3, 0), "")</f>
      </c>
      <c r="K85" s="12">
        <f>if(C85&gt;D85, "NO CHECK-OUT", "")</f>
      </c>
      <c r="L85" s="13">
        <f>iferror(if(G85="", L84, if(G85="ATTENTION", L84-H85, if(H85&gt;G85, L84-I85, L84+I85))), "")</f>
        <v>25569.1875</v>
      </c>
    </row>
    <row x14ac:dyDescent="0.25" r="86" customHeight="1" ht="17.25">
      <c r="A86" s="6">
        <v>45742</v>
      </c>
      <c r="B86" s="14"/>
      <c r="C86" s="9"/>
      <c r="D86" s="9"/>
      <c r="E86" s="9"/>
      <c r="F86" s="9"/>
      <c r="G86" s="9"/>
      <c r="H86" s="8">
        <v>2.166666666666667</v>
      </c>
      <c r="I86" s="10">
        <f>iferror(if(H86&gt;G86, H86-G86, G86-H86), "")</f>
        <v>25569.1875</v>
      </c>
      <c r="J86" s="11">
        <f>iferror(vlookup(A86, Calendar!$A$2:$C$261, 3, 0), "")</f>
      </c>
      <c r="K86" s="12">
        <f>if(C86&gt;D86, "NO CHECK-OUT", "")</f>
      </c>
      <c r="L86" s="13">
        <f>iferror(if(G86="", L85, if(G86="ATTENTION", L85-H86, if(H86&gt;G86, L85-I86, L85+I86))), "")</f>
        <v>25569.1875</v>
      </c>
    </row>
    <row x14ac:dyDescent="0.25" r="87" customHeight="1" ht="17.25">
      <c r="A87" s="6">
        <v>45743</v>
      </c>
      <c r="B87" s="14"/>
      <c r="C87" s="9"/>
      <c r="D87" s="9"/>
      <c r="E87" s="9"/>
      <c r="F87" s="9"/>
      <c r="G87" s="9"/>
      <c r="H87" s="8">
        <v>2.166666666666667</v>
      </c>
      <c r="I87" s="10">
        <f>iferror(if(H87&gt;G87, H87-G87, G87-H87), "")</f>
        <v>25569.1875</v>
      </c>
      <c r="J87" s="11">
        <f>iferror(vlookup(A87, Calendar!$A$2:$C$261, 3, 0), "")</f>
      </c>
      <c r="K87" s="12">
        <f>if(C87&gt;D87, "NO CHECK-OUT", "")</f>
      </c>
      <c r="L87" s="13">
        <f>iferror(if(G87="", L86, if(G87="ATTENTION", L86-H87, if(H87&gt;G87, L86-I87, L86+I87))), "")</f>
        <v>25569.1875</v>
      </c>
    </row>
    <row x14ac:dyDescent="0.25" r="88" customHeight="1" ht="17.25">
      <c r="A88" s="6">
        <v>45744</v>
      </c>
      <c r="B88" s="14"/>
      <c r="C88" s="9"/>
      <c r="D88" s="9"/>
      <c r="E88" s="9"/>
      <c r="F88" s="9"/>
      <c r="G88" s="9"/>
      <c r="H88" s="8">
        <v>2.166666666666667</v>
      </c>
      <c r="I88" s="17">
        <f>iferror(if(H88&gt;G88, H88-G88, G88-H88), "")</f>
        <v>25569.1875</v>
      </c>
      <c r="J88" s="18">
        <f>iferror(vlookup(A88, Calendar!$A$2:$C$261, 3, 0), "")</f>
      </c>
      <c r="K88" s="19">
        <f>if(C88&gt;D88, "NO CHECK-OUT", "")</f>
      </c>
      <c r="L88" s="20">
        <f>iferror(if(G88="", L87, if(G88="ATTENTION", L87-H88, if(H88&gt;G88, L87-I88, L87+I88))), "")</f>
        <v>25569.1875</v>
      </c>
    </row>
    <row x14ac:dyDescent="0.25" r="89" customHeight="1" ht="17.25">
      <c r="A89" s="6">
        <v>45745</v>
      </c>
      <c r="B89" s="14"/>
      <c r="C89" s="9"/>
      <c r="D89" s="9"/>
      <c r="E89" s="9"/>
      <c r="F89" s="9"/>
      <c r="G89" s="9"/>
      <c r="H89" s="8">
        <v>2.166666666666667</v>
      </c>
      <c r="I89" s="17">
        <f>iferror(if(H89&gt;G89, H89-G89, G89-H89), "")</f>
        <v>25569.1875</v>
      </c>
      <c r="J89" s="18">
        <f>iferror(vlookup(A89, Calendar!$A$2:$C$261, 3, 0), "")</f>
      </c>
      <c r="K89" s="19">
        <f>if(C89&gt;D89, "NO CHECK-OUT", "")</f>
      </c>
      <c r="L89" s="20">
        <f>iferror(if(G89="", L88, if(G89="ATTENTION", L88-H89, if(H89&gt;G89, L88-I89, L88+I89))), "")</f>
        <v>25569.1875</v>
      </c>
    </row>
    <row x14ac:dyDescent="0.25" r="90" customHeight="1" ht="17.25">
      <c r="A90" s="6">
        <v>45746</v>
      </c>
      <c r="B90" s="14"/>
      <c r="C90" s="9"/>
      <c r="D90" s="9"/>
      <c r="E90" s="9"/>
      <c r="F90" s="9"/>
      <c r="G90" s="9"/>
      <c r="H90" s="8">
        <v>2.166666666666667</v>
      </c>
      <c r="I90" s="17">
        <f>iferror(if(H90&gt;G90, H90-G90, G90-H90), "")</f>
        <v>25569.1875</v>
      </c>
      <c r="J90" s="18">
        <f>iferror(vlookup(A90, Calendar!$A$2:$C$261, 3, 0), "")</f>
      </c>
      <c r="K90" s="19">
        <f>if(C90&gt;D90, "NO CHECK-OUT", "")</f>
      </c>
      <c r="L90" s="20">
        <f>iferror(if(G90="", L89, if(G90="ATTENTION", L89-H90, if(H90&gt;G90, L89-I90, L89+I90))), "")</f>
        <v>25569.1875</v>
      </c>
    </row>
    <row x14ac:dyDescent="0.25" r="91" customHeight="1" ht="17.25">
      <c r="A91" s="6">
        <v>45747</v>
      </c>
      <c r="B91" s="14"/>
      <c r="C91" s="9"/>
      <c r="D91" s="9"/>
      <c r="E91" s="9"/>
      <c r="F91" s="9"/>
      <c r="G91" s="9"/>
      <c r="H91" s="8">
        <v>2.166666666666667</v>
      </c>
      <c r="I91" s="17">
        <f>iferror(if(H91&gt;G91, H91-G91, G91-H91), "")</f>
        <v>25569.1875</v>
      </c>
      <c r="J91" s="18">
        <f>iferror(vlookup(A91, Calendar!$A$2:$C$261, 3, 0), "")</f>
      </c>
      <c r="K91" s="19">
        <f>if(C91&gt;D91, "NO CHECK-OUT", "")</f>
      </c>
      <c r="L91" s="20">
        <f>iferror(if(G91="", L90, if(G91="ATTENTION", L90-H91, if(H91&gt;G91, L90-I91, L90+I91))), "")</f>
        <v>25569.1875</v>
      </c>
    </row>
    <row x14ac:dyDescent="0.25" r="92" customHeight="1" ht="17.25">
      <c r="A92" s="6">
        <v>45748</v>
      </c>
      <c r="B92" s="14"/>
      <c r="C92" s="9"/>
      <c r="D92" s="9"/>
      <c r="E92" s="9"/>
      <c r="F92" s="9"/>
      <c r="G92" s="9"/>
      <c r="H92" s="8">
        <v>2.166666666666667</v>
      </c>
      <c r="I92" s="17">
        <f>iferror(if(H92&gt;G92, H92-G92, G92-H92), "")</f>
        <v>25569.1875</v>
      </c>
      <c r="J92" s="18">
        <f>iferror(vlookup(A92, Calendar!$A$2:$C$261, 3, 0), "")</f>
      </c>
      <c r="K92" s="19">
        <f>if(C92&gt;D92, "NO CHECK-OUT", "")</f>
      </c>
      <c r="L92" s="20">
        <f>iferror(if(G92="", L91, if(G92="ATTENTION", L91-H92, if(H92&gt;G92, L91-I92, L91+I92))), "")</f>
        <v>25569.1875</v>
      </c>
    </row>
    <row x14ac:dyDescent="0.25" r="93" customHeight="1" ht="17.25">
      <c r="A93" s="6">
        <v>45749</v>
      </c>
      <c r="B93" s="14"/>
      <c r="C93" s="9"/>
      <c r="D93" s="9"/>
      <c r="E93" s="9"/>
      <c r="F93" s="9"/>
      <c r="G93" s="9"/>
      <c r="H93" s="8">
        <v>2.166666666666667</v>
      </c>
      <c r="I93" s="17">
        <f>iferror(if(H93&gt;G93, H93-G93, G93-H93), "")</f>
        <v>25569.1875</v>
      </c>
      <c r="J93" s="18">
        <f>iferror(vlookup(A93, Calendar!$A$2:$C$261, 3, 0), "")</f>
      </c>
      <c r="K93" s="19">
        <f>if(C93&gt;D93, "NO CHECK-OUT", "")</f>
      </c>
      <c r="L93" s="20">
        <f>iferror(if(G93="", L92, if(G93="ATTENTION", L92-H93, if(H93&gt;G93, L92-I93, L92+I93))), "")</f>
        <v>25569.1875</v>
      </c>
    </row>
    <row x14ac:dyDescent="0.25" r="94" customHeight="1" ht="17.25">
      <c r="A94" s="6">
        <v>45750</v>
      </c>
      <c r="B94" s="14"/>
      <c r="C94" s="9"/>
      <c r="D94" s="9"/>
      <c r="E94" s="9"/>
      <c r="F94" s="9"/>
      <c r="G94" s="9"/>
      <c r="H94" s="8">
        <v>2.166666666666667</v>
      </c>
      <c r="I94" s="17">
        <f>iferror(if(H94&gt;G94, H94-G94, G94-H94), "")</f>
        <v>25569.1875</v>
      </c>
      <c r="J94" s="18">
        <f>iferror(vlookup(A94, Calendar!$A$2:$C$261, 3, 0), "")</f>
      </c>
      <c r="K94" s="19">
        <f>if(C94&gt;D94, "NO CHECK-OUT", "")</f>
      </c>
      <c r="L94" s="20">
        <f>iferror(if(G94="", L93, if(G94="ATTENTION", L93-H94, if(H94&gt;G94, L93-I94, L93+I94))), "")</f>
        <v>25569.1875</v>
      </c>
    </row>
    <row x14ac:dyDescent="0.25" r="95" customHeight="1" ht="17.25">
      <c r="A95" s="6">
        <v>45751</v>
      </c>
      <c r="B95" s="14"/>
      <c r="C95" s="9"/>
      <c r="D95" s="9"/>
      <c r="E95" s="9"/>
      <c r="F95" s="9"/>
      <c r="G95" s="9"/>
      <c r="H95" s="8">
        <v>2.166666666666667</v>
      </c>
      <c r="I95" s="17">
        <f>iferror(if(H95&gt;G95, H95-G95, G95-H95), "")</f>
        <v>25569.1875</v>
      </c>
      <c r="J95" s="18">
        <f>iferror(vlookup(A95, Calendar!$A$2:$C$261, 3, 0), "")</f>
      </c>
      <c r="K95" s="19">
        <f>if(C95&gt;D95, "NO CHECK-OUT", "")</f>
      </c>
      <c r="L95" s="20">
        <f>iferror(if(G95="", L94, if(G95="ATTENTION", L94-H95, if(H95&gt;G95, L94-I95, L94+I95))), "")</f>
        <v>25569.1875</v>
      </c>
    </row>
    <row x14ac:dyDescent="0.25" r="96" customHeight="1" ht="17.25">
      <c r="A96" s="6">
        <v>45752</v>
      </c>
      <c r="B96" s="14"/>
      <c r="C96" s="9"/>
      <c r="D96" s="9"/>
      <c r="E96" s="9"/>
      <c r="F96" s="9"/>
      <c r="G96" s="9"/>
      <c r="H96" s="8">
        <v>2.166666666666667</v>
      </c>
      <c r="I96" s="17">
        <f>iferror(if(H96&gt;G96, H96-G96, G96-H96), "")</f>
        <v>25569.1875</v>
      </c>
      <c r="J96" s="18">
        <f>iferror(vlookup(A96, Calendar!$A$2:$C$261, 3, 0), "")</f>
      </c>
      <c r="K96" s="19">
        <f>if(C96&gt;D96, "NO CHECK-OUT", "")</f>
      </c>
      <c r="L96" s="20">
        <f>iferror(if(G96="", L95, if(G96="ATTENTION", L95-H96, if(H96&gt;G96, L95-I96, L95+I96))), "")</f>
        <v>25569.1875</v>
      </c>
    </row>
    <row x14ac:dyDescent="0.25" r="97" customHeight="1" ht="17.25">
      <c r="A97" s="6">
        <v>45753</v>
      </c>
      <c r="B97" s="14"/>
      <c r="C97" s="9"/>
      <c r="D97" s="9"/>
      <c r="E97" s="9"/>
      <c r="F97" s="9"/>
      <c r="G97" s="9"/>
      <c r="H97" s="8">
        <v>2.166666666666667</v>
      </c>
      <c r="I97" s="17">
        <f>iferror(if(H97&gt;G97, H97-G97, G97-H97), "")</f>
        <v>25569.1875</v>
      </c>
      <c r="J97" s="18">
        <f>iferror(vlookup(A97, Calendar!$A$2:$C$261, 3, 0), "")</f>
      </c>
      <c r="K97" s="19">
        <f>if(C97&gt;D97, "NO CHECK-OUT", "")</f>
      </c>
      <c r="L97" s="20">
        <f>iferror(if(G97="", L96, if(G97="ATTENTION", L96-H97, if(H97&gt;G97, L96-I97, L96+I97))), "")</f>
        <v>25569.1875</v>
      </c>
    </row>
    <row x14ac:dyDescent="0.25" r="98" customHeight="1" ht="17.25">
      <c r="A98" s="6">
        <v>45754</v>
      </c>
      <c r="B98" s="14"/>
      <c r="C98" s="9"/>
      <c r="D98" s="9"/>
      <c r="E98" s="9"/>
      <c r="F98" s="9"/>
      <c r="G98" s="9"/>
      <c r="H98" s="8">
        <v>2.166666666666667</v>
      </c>
      <c r="I98" s="17">
        <f>iferror(if(H98&gt;G98, H98-G98, G98-H98), "")</f>
        <v>25569.1875</v>
      </c>
      <c r="J98" s="18">
        <f>iferror(vlookup(A98, Calendar!$A$2:$C$261, 3, 0), "")</f>
      </c>
      <c r="K98" s="19">
        <f>if(C98&gt;D98, "NO CHECK-OUT", "")</f>
      </c>
      <c r="L98" s="20">
        <f>iferror(if(G98="", L97, if(G98="ATTENTION", L97-H98, if(H98&gt;G98, L97-I98, L97+I98))), "")</f>
        <v>25569.1875</v>
      </c>
    </row>
    <row x14ac:dyDescent="0.25" r="99" customHeight="1" ht="17.25">
      <c r="A99" s="6">
        <v>45755</v>
      </c>
      <c r="B99" s="14"/>
      <c r="C99" s="9"/>
      <c r="D99" s="9"/>
      <c r="E99" s="9"/>
      <c r="F99" s="9"/>
      <c r="G99" s="9"/>
      <c r="H99" s="8">
        <v>2.166666666666667</v>
      </c>
      <c r="I99" s="17">
        <f>iferror(if(H99&gt;G99, H99-G99, G99-H99), "")</f>
        <v>25569.1875</v>
      </c>
      <c r="J99" s="18">
        <f>iferror(vlookup(A99, Calendar!$A$2:$C$261, 3, 0), "")</f>
      </c>
      <c r="K99" s="19">
        <f>if(C99&gt;D99, "NO CHECK-OUT", "")</f>
      </c>
      <c r="L99" s="20">
        <f>iferror(if(G99="", L98, if(G99="ATTENTION", L98-H99, if(H99&gt;G99, L98-I99, L98+I99))), "")</f>
        <v>25569.1875</v>
      </c>
    </row>
    <row x14ac:dyDescent="0.25" r="100" customHeight="1" ht="17.25">
      <c r="A100" s="6">
        <v>45756</v>
      </c>
      <c r="B100" s="14"/>
      <c r="C100" s="9"/>
      <c r="D100" s="9"/>
      <c r="E100" s="9"/>
      <c r="F100" s="9"/>
      <c r="G100" s="9"/>
      <c r="H100" s="8">
        <v>2.166666666666667</v>
      </c>
      <c r="I100" s="17">
        <f>iferror(if(H100&gt;G100, H100-G100, G100-H100), "")</f>
        <v>25569.1875</v>
      </c>
      <c r="J100" s="18">
        <f>iferror(vlookup(A100, Calendar!$A$2:$C$261, 3, 0), "")</f>
      </c>
      <c r="K100" s="19">
        <f>if(C100&gt;D100, "NO CHECK-OUT", "")</f>
      </c>
      <c r="L100" s="20">
        <f>iferror(if(G100="", L99, if(G100="ATTENTION", L99-H100, if(H100&gt;G100, L99-I100, L99+I100))), "")</f>
        <v>25569.1875</v>
      </c>
    </row>
    <row x14ac:dyDescent="0.25" r="101" customHeight="1" ht="17.25">
      <c r="A101" s="6">
        <v>45757</v>
      </c>
      <c r="B101" s="14"/>
      <c r="C101" s="9"/>
      <c r="D101" s="9"/>
      <c r="E101" s="9"/>
      <c r="F101" s="9"/>
      <c r="G101" s="9"/>
      <c r="H101" s="8">
        <v>2.166666666666667</v>
      </c>
      <c r="I101" s="17">
        <f>iferror(if(H101&gt;G101, H101-G101, G101-H101), "")</f>
        <v>25569.1875</v>
      </c>
      <c r="J101" s="18">
        <f>iferror(vlookup(A101, Calendar!$A$2:$C$261, 3, 0), "")</f>
      </c>
      <c r="K101" s="19">
        <f>if(C101&gt;D101, "NO CHECK-OUT", "")</f>
      </c>
      <c r="L101" s="20">
        <f>iferror(if(G101="", L100, if(G101="ATTENTION", L100-H101, if(H101&gt;G101, L100-I101, L100+I101))), "")</f>
        <v>25569.1875</v>
      </c>
    </row>
    <row x14ac:dyDescent="0.25" r="102" customHeight="1" ht="17.25">
      <c r="A102" s="6">
        <v>45758</v>
      </c>
      <c r="B102" s="14"/>
      <c r="C102" s="9"/>
      <c r="D102" s="9"/>
      <c r="E102" s="9"/>
      <c r="F102" s="9"/>
      <c r="G102" s="9"/>
      <c r="H102" s="8">
        <v>2.166666666666667</v>
      </c>
      <c r="I102" s="17">
        <f>iferror(if(H102&gt;G102, H102-G102, G102-H102), "")</f>
        <v>25569.1875</v>
      </c>
      <c r="J102" s="18">
        <f>iferror(vlookup(A102, Calendar!$A$2:$C$261, 3, 0), "")</f>
      </c>
      <c r="K102" s="19">
        <f>if(C102&gt;D102, "NO CHECK-OUT", "")</f>
      </c>
      <c r="L102" s="20">
        <f>iferror(if(G102="", L101, if(G102="ATTENTION", L101-H102, if(H102&gt;G102, L101-I102, L101+I102))), "")</f>
        <v>25569.1875</v>
      </c>
    </row>
    <row x14ac:dyDescent="0.25" r="103" customHeight="1" ht="17.25">
      <c r="A103" s="6">
        <v>45759</v>
      </c>
      <c r="B103" s="14"/>
      <c r="C103" s="9"/>
      <c r="D103" s="9"/>
      <c r="E103" s="9"/>
      <c r="F103" s="9"/>
      <c r="G103" s="9"/>
      <c r="H103" s="8">
        <v>2.166666666666667</v>
      </c>
      <c r="I103" s="17">
        <f>iferror(if(H103&gt;G103, H103-G103, G103-H103), "")</f>
        <v>25569.1875</v>
      </c>
      <c r="J103" s="18">
        <f>iferror(vlookup(A103, Calendar!$A$2:$C$261, 3, 0), "")</f>
      </c>
      <c r="K103" s="19">
        <f>if(C103&gt;D103, "NO CHECK-OUT", "")</f>
      </c>
      <c r="L103" s="20">
        <f>iferror(if(G103="", L102, if(G103="ATTENTION", L102-H103, if(H103&gt;G103, L102-I103, L102+I103))), "")</f>
        <v>25569.1875</v>
      </c>
    </row>
    <row x14ac:dyDescent="0.25" r="104" customHeight="1" ht="17.25">
      <c r="A104" s="6">
        <v>45760</v>
      </c>
      <c r="B104" s="14"/>
      <c r="C104" s="9"/>
      <c r="D104" s="9"/>
      <c r="E104" s="9"/>
      <c r="F104" s="9"/>
      <c r="G104" s="9"/>
      <c r="H104" s="8">
        <v>2.166666666666667</v>
      </c>
      <c r="I104" s="17">
        <f>iferror(if(H104&gt;G104, H104-G104, G104-H104), "")</f>
        <v>25569.1875</v>
      </c>
      <c r="J104" s="18">
        <f>iferror(vlookup(A104, Calendar!$A$2:$C$261, 3, 0), "")</f>
      </c>
      <c r="K104" s="19">
        <f>if(C104&gt;D104, "NO CHECK-OUT", "")</f>
      </c>
      <c r="L104" s="20">
        <f>iferror(if(G104="", L103, if(G104="ATTENTION", L103-H104, if(H104&gt;G104, L103-I104, L103+I104))), "")</f>
        <v>25569.1875</v>
      </c>
    </row>
    <row x14ac:dyDescent="0.25" r="105" customHeight="1" ht="17.25">
      <c r="A105" s="6">
        <v>45761</v>
      </c>
      <c r="B105" s="14"/>
      <c r="C105" s="9"/>
      <c r="D105" s="9"/>
      <c r="E105" s="9"/>
      <c r="F105" s="9"/>
      <c r="G105" s="9"/>
      <c r="H105" s="8">
        <v>2.166666666666667</v>
      </c>
      <c r="I105" s="17">
        <f>iferror(if(H105&gt;G105, H105-G105, G105-H105), "")</f>
        <v>25569.1875</v>
      </c>
      <c r="J105" s="18">
        <f>iferror(vlookup(A105, Calendar!$A$2:$C$261, 3, 0), "")</f>
      </c>
      <c r="K105" s="19">
        <f>if(C105&gt;D105, "NO CHECK-OUT", "")</f>
      </c>
      <c r="L105" s="20">
        <f>iferror(if(G105="", L104, if(G105="ATTENTION", L104-H105, if(H105&gt;G105, L104-I105, L104+I105))), "")</f>
        <v>25569.1875</v>
      </c>
    </row>
    <row x14ac:dyDescent="0.25" r="106" customHeight="1" ht="17.25">
      <c r="A106" s="6">
        <v>45762</v>
      </c>
      <c r="B106" s="14"/>
      <c r="C106" s="9"/>
      <c r="D106" s="9"/>
      <c r="E106" s="9"/>
      <c r="F106" s="9"/>
      <c r="G106" s="9"/>
      <c r="H106" s="8">
        <v>2.166666666666667</v>
      </c>
      <c r="I106" s="17">
        <f>iferror(if(H106&gt;G106, H106-G106, G106-H106), "")</f>
        <v>25569.1875</v>
      </c>
      <c r="J106" s="18">
        <f>iferror(vlookup(A106, Calendar!$A$2:$C$261, 3, 0), "")</f>
      </c>
      <c r="K106" s="19">
        <f>if(C106&gt;D106, "NO CHECK-OUT", "")</f>
      </c>
      <c r="L106" s="20">
        <f>iferror(if(G106="", L105, if(G106="ATTENTION", L105-H106, if(H106&gt;G106, L105-I106, L105+I106))), "")</f>
        <v>25569.1875</v>
      </c>
    </row>
    <row x14ac:dyDescent="0.25" r="107" customHeight="1" ht="17.25">
      <c r="A107" s="6">
        <v>45763</v>
      </c>
      <c r="B107" s="14"/>
      <c r="C107" s="9"/>
      <c r="D107" s="9"/>
      <c r="E107" s="9"/>
      <c r="F107" s="9"/>
      <c r="G107" s="9"/>
      <c r="H107" s="8">
        <v>2.166666666666667</v>
      </c>
      <c r="I107" s="17">
        <f>iferror(if(H107&gt;G107, H107-G107, G107-H107), "")</f>
        <v>25569.1875</v>
      </c>
      <c r="J107" s="18">
        <f>iferror(vlookup(A107, Calendar!$A$2:$C$261, 3, 0), "")</f>
      </c>
      <c r="K107" s="19">
        <f>if(C107&gt;D107, "NO CHECK-OUT", "")</f>
      </c>
      <c r="L107" s="20">
        <f>iferror(if(G107="", L106, if(G107="ATTENTION", L106-H107, if(H107&gt;G107, L106-I107, L106+I107))), "")</f>
        <v>25569.1875</v>
      </c>
    </row>
    <row x14ac:dyDescent="0.25" r="108" customHeight="1" ht="17.25">
      <c r="A108" s="6">
        <v>45764</v>
      </c>
      <c r="B108" s="14"/>
      <c r="C108" s="9"/>
      <c r="D108" s="9"/>
      <c r="E108" s="9"/>
      <c r="F108" s="9"/>
      <c r="G108" s="9"/>
      <c r="H108" s="8">
        <v>2.166666666666667</v>
      </c>
      <c r="I108" s="17">
        <f>iferror(if(H108&gt;G108, H108-G108, G108-H108), "")</f>
        <v>25569.1875</v>
      </c>
      <c r="J108" s="18">
        <f>iferror(vlookup(A108, Calendar!$A$2:$C$261, 3, 0), "")</f>
      </c>
      <c r="K108" s="19">
        <f>if(C108&gt;D108, "NO CHECK-OUT", "")</f>
      </c>
      <c r="L108" s="20">
        <f>iferror(if(G108="", L107, if(G108="ATTENTION", L107-H108, if(H108&gt;G108, L107-I108, L107+I108))), "")</f>
        <v>25569.1875</v>
      </c>
    </row>
    <row x14ac:dyDescent="0.25" r="109" customHeight="1" ht="17.25">
      <c r="A109" s="6">
        <v>45765</v>
      </c>
      <c r="B109" s="14"/>
      <c r="C109" s="9"/>
      <c r="D109" s="9"/>
      <c r="E109" s="9"/>
      <c r="F109" s="9"/>
      <c r="G109" s="9"/>
      <c r="H109" s="8">
        <v>2.166666666666667</v>
      </c>
      <c r="I109" s="17">
        <f>iferror(if(H109&gt;G109, H109-G109, G109-H109), "")</f>
        <v>25569.1875</v>
      </c>
      <c r="J109" s="18">
        <f>iferror(vlookup(A109, Calendar!$A$2:$C$261, 3, 0), "")</f>
      </c>
      <c r="K109" s="19">
        <f>if(C109&gt;D109, "NO CHECK-OUT", "")</f>
      </c>
      <c r="L109" s="20">
        <f>iferror(if(G109="", L108, if(G109="ATTENTION", L108-H109, if(H109&gt;G109, L108-I109, L108+I109))), "")</f>
        <v>25569.1875</v>
      </c>
    </row>
    <row x14ac:dyDescent="0.25" r="110" customHeight="1" ht="17.25">
      <c r="A110" s="6">
        <v>45766</v>
      </c>
      <c r="B110" s="14"/>
      <c r="C110" s="9"/>
      <c r="D110" s="9"/>
      <c r="E110" s="9"/>
      <c r="F110" s="9"/>
      <c r="G110" s="9"/>
      <c r="H110" s="8">
        <v>2.166666666666667</v>
      </c>
      <c r="I110" s="17">
        <f>iferror(if(H110&gt;G110, H110-G110, G110-H110), "")</f>
        <v>25569.1875</v>
      </c>
      <c r="J110" s="18">
        <f>iferror(vlookup(A110, Calendar!$A$2:$C$261, 3, 0), "")</f>
      </c>
      <c r="K110" s="19">
        <f>if(C110&gt;D110, "NO CHECK-OUT", "")</f>
      </c>
      <c r="L110" s="20">
        <f>iferror(if(G110="", L109, if(G110="ATTENTION", L109-H110, if(H110&gt;G110, L109-I110, L109+I110))), "")</f>
        <v>25569.1875</v>
      </c>
    </row>
    <row x14ac:dyDescent="0.25" r="111" customHeight="1" ht="17.25">
      <c r="A111" s="6">
        <v>45767</v>
      </c>
      <c r="B111" s="14"/>
      <c r="C111" s="9"/>
      <c r="D111" s="9"/>
      <c r="E111" s="9"/>
      <c r="F111" s="9"/>
      <c r="G111" s="9"/>
      <c r="H111" s="8">
        <v>2.166666666666667</v>
      </c>
      <c r="I111" s="17">
        <f>iferror(if(H111&gt;G111, H111-G111, G111-H111), "")</f>
        <v>25569.1875</v>
      </c>
      <c r="J111" s="18">
        <f>iferror(vlookup(A111, Calendar!$A$2:$C$261, 3, 0), "")</f>
      </c>
      <c r="K111" s="19">
        <f>if(C111&gt;D111, "NO CHECK-OUT", "")</f>
      </c>
      <c r="L111" s="20">
        <f>iferror(if(G111="", L110, if(G111="ATTENTION", L110-H111, if(H111&gt;G111, L110-I111, L110+I111))), "")</f>
        <v>25569.1875</v>
      </c>
    </row>
    <row x14ac:dyDescent="0.25" r="112" customHeight="1" ht="17.25">
      <c r="A112" s="6">
        <v>45768</v>
      </c>
      <c r="B112" s="14"/>
      <c r="C112" s="9"/>
      <c r="D112" s="9"/>
      <c r="E112" s="9"/>
      <c r="F112" s="9"/>
      <c r="G112" s="9"/>
      <c r="H112" s="8">
        <v>2.166666666666667</v>
      </c>
      <c r="I112" s="17">
        <f>iferror(if(H112&gt;G112, H112-G112, G112-H112), "")</f>
        <v>25569.1875</v>
      </c>
      <c r="J112" s="18">
        <f>iferror(vlookup(A112, Calendar!$A$2:$C$261, 3, 0), "")</f>
      </c>
      <c r="K112" s="19">
        <f>if(C112&gt;D112, "NO CHECK-OUT", "")</f>
      </c>
      <c r="L112" s="20">
        <f>iferror(if(G112="", L111, if(G112="ATTENTION", L111-H112, if(H112&gt;G112, L111-I112, L111+I112))), "")</f>
        <v>25569.1875</v>
      </c>
    </row>
    <row x14ac:dyDescent="0.25" r="113" customHeight="1" ht="17.25">
      <c r="A113" s="6">
        <v>45769</v>
      </c>
      <c r="B113" s="14"/>
      <c r="C113" s="9"/>
      <c r="D113" s="9"/>
      <c r="E113" s="9"/>
      <c r="F113" s="9"/>
      <c r="G113" s="9"/>
      <c r="H113" s="8">
        <v>2.166666666666667</v>
      </c>
      <c r="I113" s="17">
        <f>iferror(if(H113&gt;G113, H113-G113, G113-H113), "")</f>
        <v>25569.1875</v>
      </c>
      <c r="J113" s="18">
        <f>iferror(vlookup(A113, Calendar!$A$2:$C$261, 3, 0), "")</f>
      </c>
      <c r="K113" s="19">
        <f>if(C113&gt;D113, "NO CHECK-OUT", "")</f>
      </c>
      <c r="L113" s="20">
        <f>iferror(if(G113="", L112, if(G113="ATTENTION", L112-H113, if(H113&gt;G113, L112-I113, L112+I113))), "")</f>
        <v>25569.1875</v>
      </c>
    </row>
    <row x14ac:dyDescent="0.25" r="114" customHeight="1" ht="17.25">
      <c r="A114" s="6">
        <v>45770</v>
      </c>
      <c r="B114" s="21"/>
      <c r="C114" s="22"/>
      <c r="D114" s="22"/>
      <c r="E114" s="22"/>
      <c r="F114" s="22"/>
      <c r="G114" s="22"/>
      <c r="H114" s="8">
        <v>2.166666666666667</v>
      </c>
      <c r="I114" s="17">
        <f>iferror(if(H114&gt;G114, H114-G114, G114-H114), "")</f>
        <v>25569.1875</v>
      </c>
      <c r="J114" s="18">
        <f>iferror(vlookup(A114, Calendar!$A$2:$C$261, 3, 0), "")</f>
      </c>
      <c r="K114" s="19">
        <f>if(C114&gt;D114, "NO CHECK-OUT", "")</f>
      </c>
      <c r="L114" s="20">
        <f>iferror(if(G114="", L113, if(G114="ATTENTION", L113-H114, if(H114&gt;G114, L113-I114, L113+I114))), "")</f>
        <v>25569.1875</v>
      </c>
    </row>
    <row x14ac:dyDescent="0.25" r="115" customHeight="1" ht="17.25">
      <c r="A115" s="6">
        <v>45771</v>
      </c>
      <c r="B115" s="21"/>
      <c r="C115" s="22"/>
      <c r="D115" s="22"/>
      <c r="E115" s="22"/>
      <c r="F115" s="22"/>
      <c r="G115" s="22"/>
      <c r="H115" s="8">
        <v>2.166666666666667</v>
      </c>
      <c r="I115" s="17">
        <f>iferror(if(H115&gt;G115, H115-G115, G115-H115), "")</f>
        <v>25569.1875</v>
      </c>
      <c r="J115" s="18">
        <f>iferror(vlookup(A115, Calendar!$A$2:$C$261, 3, 0), "")</f>
      </c>
      <c r="K115" s="19">
        <f>if(C115&gt;D115, "NO CHECK-OUT", "")</f>
      </c>
      <c r="L115" s="20">
        <f>iferror(if(G115="", L114, if(G115="ATTENTION", L114-H115, if(H115&gt;G115, L114-I115, L114+I115))), "")</f>
        <v>25569.1875</v>
      </c>
    </row>
    <row x14ac:dyDescent="0.25" r="116" customHeight="1" ht="17.25">
      <c r="A116" s="6">
        <v>45772</v>
      </c>
      <c r="B116" s="21"/>
      <c r="C116" s="22"/>
      <c r="D116" s="22"/>
      <c r="E116" s="22"/>
      <c r="F116" s="22"/>
      <c r="G116" s="22"/>
      <c r="H116" s="8">
        <v>2.166666666666667</v>
      </c>
      <c r="I116" s="17">
        <f>iferror(if(H116&gt;G116, H116-G116, G116-H116), "")</f>
        <v>25569.1875</v>
      </c>
      <c r="J116" s="18">
        <f>iferror(vlookup(A116, Calendar!$A$2:$C$261, 3, 0), "")</f>
      </c>
      <c r="K116" s="19">
        <f>if(C116&gt;D116, "NO CHECK-OUT", "")</f>
      </c>
      <c r="L116" s="20">
        <f>iferror(if(G116="", L115, if(G116="ATTENTION", L115-H116, if(H116&gt;G116, L115-I116, L115+I116))), "")</f>
        <v>25569.1875</v>
      </c>
    </row>
    <row x14ac:dyDescent="0.25" r="117" customHeight="1" ht="17.25">
      <c r="A117" s="6">
        <v>45773</v>
      </c>
      <c r="B117" s="21"/>
      <c r="C117" s="22"/>
      <c r="D117" s="22"/>
      <c r="E117" s="22"/>
      <c r="F117" s="22"/>
      <c r="G117" s="22"/>
      <c r="H117" s="8">
        <v>2.166666666666667</v>
      </c>
      <c r="I117" s="17">
        <f>iferror(if(H117&gt;G117, H117-G117, G117-H117), "")</f>
        <v>25569.1875</v>
      </c>
      <c r="J117" s="18">
        <f>iferror(vlookup(A117, Calendar!$A$2:$C$261, 3, 0), "")</f>
      </c>
      <c r="K117" s="19">
        <f>if(C117&gt;D117, "NO CHECK-OUT", "")</f>
      </c>
      <c r="L117" s="20">
        <f>iferror(if(G117="", L116, if(G117="ATTENTION", L116-H117, if(H117&gt;G117, L116-I117, L116+I117))), "")</f>
        <v>25569.1875</v>
      </c>
    </row>
    <row x14ac:dyDescent="0.25" r="118" customHeight="1" ht="17.25">
      <c r="A118" s="6">
        <v>45774</v>
      </c>
      <c r="B118" s="21"/>
      <c r="C118" s="22"/>
      <c r="D118" s="22"/>
      <c r="E118" s="22"/>
      <c r="F118" s="22"/>
      <c r="G118" s="22"/>
      <c r="H118" s="8">
        <v>2.166666666666667</v>
      </c>
      <c r="I118" s="17">
        <f>iferror(if(H118&gt;G118, H118-G118, G118-H118), "")</f>
        <v>25569.1875</v>
      </c>
      <c r="J118" s="18">
        <f>iferror(vlookup(A118, Calendar!$A$2:$C$261, 3, 0), "")</f>
      </c>
      <c r="K118" s="19">
        <f>if(C118&gt;D118, "NO CHECK-OUT", "")</f>
      </c>
      <c r="L118" s="20">
        <f>iferror(if(G118="", L117, if(G118="ATTENTION", L117-H118, if(H118&gt;G118, L117-I118, L117+I118))), "")</f>
        <v>25569.1875</v>
      </c>
    </row>
    <row x14ac:dyDescent="0.25" r="119" customHeight="1" ht="17.25">
      <c r="A119" s="6">
        <v>45775</v>
      </c>
      <c r="B119" s="21"/>
      <c r="C119" s="22"/>
      <c r="D119" s="22"/>
      <c r="E119" s="22"/>
      <c r="F119" s="22"/>
      <c r="G119" s="22"/>
      <c r="H119" s="8">
        <v>2.166666666666667</v>
      </c>
      <c r="I119" s="17">
        <f>iferror(if(H119&gt;G119, H119-G119, G119-H119), "")</f>
        <v>25569.1875</v>
      </c>
      <c r="J119" s="18">
        <f>iferror(vlookup(A119, Calendar!$A$2:$C$261, 3, 0), "")</f>
      </c>
      <c r="K119" s="19">
        <f>if(C119&gt;D119, "NO CHECK-OUT", "")</f>
      </c>
      <c r="L119" s="20">
        <f>iferror(if(G119="", L118, if(G119="ATTENTION", L118-H119, if(H119&gt;G119, L118-I119, L118+I119))), "")</f>
        <v>25569.1875</v>
      </c>
    </row>
    <row x14ac:dyDescent="0.25" r="120" customHeight="1" ht="17.25">
      <c r="A120" s="6">
        <v>45776</v>
      </c>
      <c r="B120" s="21"/>
      <c r="C120" s="22"/>
      <c r="D120" s="22"/>
      <c r="E120" s="22"/>
      <c r="F120" s="22"/>
      <c r="G120" s="22"/>
      <c r="H120" s="8">
        <v>2.166666666666667</v>
      </c>
      <c r="I120" s="17">
        <f>iferror(if(H120&gt;G120, H120-G120, G120-H120), "")</f>
        <v>25569.1875</v>
      </c>
      <c r="J120" s="18">
        <f>iferror(vlookup(A120, Calendar!$A$2:$C$261, 3, 0), "")</f>
      </c>
      <c r="K120" s="19">
        <f>if(C120&gt;D120, "NO CHECK-OUT", "")</f>
      </c>
      <c r="L120" s="20">
        <f>iferror(if(G120="", L119, if(G120="ATTENTION", L119-H120, if(H120&gt;G120, L119-I120, L119+I120))), "")</f>
        <v>25569.1875</v>
      </c>
    </row>
    <row x14ac:dyDescent="0.25" r="121" customHeight="1" ht="17.25">
      <c r="A121" s="6">
        <v>45777</v>
      </c>
      <c r="B121" s="21"/>
      <c r="C121" s="22"/>
      <c r="D121" s="22"/>
      <c r="E121" s="22"/>
      <c r="F121" s="22"/>
      <c r="G121" s="22"/>
      <c r="H121" s="8">
        <v>2.166666666666667</v>
      </c>
      <c r="I121" s="17">
        <f>iferror(if(H121&gt;G121, H121-G121, G121-H121), "")</f>
        <v>25569.1875</v>
      </c>
      <c r="J121" s="18">
        <f>iferror(vlookup(A121, Calendar!$A$2:$C$261, 3, 0), "")</f>
      </c>
      <c r="K121" s="19">
        <f>if(C121&gt;D121, "NO CHECK-OUT", "")</f>
      </c>
      <c r="L121" s="20">
        <f>iferror(if(G121="", L120, if(G121="ATTENTION", L120-H121, if(H121&gt;G121, L120-I121, L120+I121))), "")</f>
        <v>25569.1875</v>
      </c>
    </row>
    <row x14ac:dyDescent="0.25" r="122" customHeight="1" ht="17.25">
      <c r="A122" s="6">
        <v>45778</v>
      </c>
      <c r="B122" s="21"/>
      <c r="C122" s="22"/>
      <c r="D122" s="22"/>
      <c r="E122" s="22"/>
      <c r="F122" s="22"/>
      <c r="G122" s="22"/>
      <c r="H122" s="8">
        <v>2.166666666666667</v>
      </c>
      <c r="I122" s="17">
        <f>iferror(if(H122&gt;G122, H122-G122, G122-H122), "")</f>
        <v>25569.1875</v>
      </c>
      <c r="J122" s="18">
        <f>iferror(vlookup(A122, Calendar!$A$2:$C$261, 3, 0), "")</f>
      </c>
      <c r="K122" s="19">
        <f>if(C122&gt;D122, "NO CHECK-OUT", "")</f>
      </c>
      <c r="L122" s="20">
        <f>iferror(if(G122="", L121, if(G122="ATTENTION", L121-H122, if(H122&gt;G122, L121-I122, L121+I122))), "")</f>
        <v>25569.1875</v>
      </c>
    </row>
    <row x14ac:dyDescent="0.25" r="123" customHeight="1" ht="17.25">
      <c r="A123" s="6">
        <v>45779</v>
      </c>
      <c r="B123" s="21"/>
      <c r="C123" s="22"/>
      <c r="D123" s="22"/>
      <c r="E123" s="22"/>
      <c r="F123" s="22"/>
      <c r="G123" s="22"/>
      <c r="H123" s="8">
        <v>2.166666666666667</v>
      </c>
      <c r="I123" s="17">
        <f>iferror(if(H123&gt;G123, H123-G123, G123-H123), "")</f>
        <v>25569.1875</v>
      </c>
      <c r="J123" s="18">
        <f>iferror(vlookup(A123, Calendar!$A$2:$C$261, 3, 0), "")</f>
      </c>
      <c r="K123" s="19">
        <f>if(C123&gt;D123, "NO CHECK-OUT", "")</f>
      </c>
      <c r="L123" s="20">
        <f>iferror(if(G123="", L122, if(G123="ATTENTION", L122-H123, if(H123&gt;G123, L122-I123, L122+I123))), "")</f>
        <v>25569.1875</v>
      </c>
    </row>
    <row x14ac:dyDescent="0.25" r="124" customHeight="1" ht="17.25">
      <c r="A124" s="6">
        <v>45780</v>
      </c>
      <c r="B124" s="21"/>
      <c r="C124" s="22"/>
      <c r="D124" s="22"/>
      <c r="E124" s="22"/>
      <c r="F124" s="22"/>
      <c r="G124" s="22"/>
      <c r="H124" s="8">
        <v>2.166666666666667</v>
      </c>
      <c r="I124" s="17">
        <f>iferror(if(H124&gt;G124, H124-G124, G124-H124), "")</f>
        <v>25569.1875</v>
      </c>
      <c r="J124" s="18">
        <f>iferror(vlookup(A124, Calendar!$A$2:$C$261, 3, 0), "")</f>
      </c>
      <c r="K124" s="19">
        <f>if(C124&gt;D124, "NO CHECK-OUT", "")</f>
      </c>
      <c r="L124" s="20">
        <f>iferror(if(G124="", L123, if(G124="ATTENTION", L123-H124, if(H124&gt;G124, L123-I124, L123+I124))), "")</f>
        <v>25569.1875</v>
      </c>
    </row>
    <row x14ac:dyDescent="0.25" r="125" customHeight="1" ht="17.25">
      <c r="A125" s="6">
        <v>45781</v>
      </c>
      <c r="B125" s="21"/>
      <c r="C125" s="22"/>
      <c r="D125" s="22"/>
      <c r="E125" s="22"/>
      <c r="F125" s="22"/>
      <c r="G125" s="22"/>
      <c r="H125" s="8">
        <v>2.166666666666667</v>
      </c>
      <c r="I125" s="17">
        <f>iferror(if(H125&gt;G125, H125-G125, G125-H125), "")</f>
        <v>25569.1875</v>
      </c>
      <c r="J125" s="18">
        <f>iferror(vlookup(A125, Calendar!$A$2:$C$261, 3, 0), "")</f>
      </c>
      <c r="K125" s="19">
        <f>if(C125&gt;D125, "NO CHECK-OUT", "")</f>
      </c>
      <c r="L125" s="20">
        <f>iferror(if(G125="", L124, if(G125="ATTENTION", L124-H125, if(H125&gt;G125, L124-I125, L124+I125))), "")</f>
        <v>25569.1875</v>
      </c>
    </row>
    <row x14ac:dyDescent="0.25" r="126" customHeight="1" ht="17.25">
      <c r="A126" s="6">
        <v>45782</v>
      </c>
      <c r="B126" s="21"/>
      <c r="C126" s="22"/>
      <c r="D126" s="22"/>
      <c r="E126" s="22"/>
      <c r="F126" s="22"/>
      <c r="G126" s="22"/>
      <c r="H126" s="8">
        <v>2.166666666666667</v>
      </c>
      <c r="I126" s="17">
        <f>iferror(if(H126&gt;G126, H126-G126, G126-H126), "")</f>
        <v>25569.1875</v>
      </c>
      <c r="J126" s="18">
        <f>iferror(vlookup(A126, Calendar!$A$2:$C$261, 3, 0), "")</f>
      </c>
      <c r="K126" s="19">
        <f>if(C126&gt;D126, "NO CHECK-OUT", "")</f>
      </c>
      <c r="L126" s="20">
        <f>iferror(if(G126="", L125, if(G126="ATTENTION", L125-H126, if(H126&gt;G126, L125-I126, L125+I126))), "")</f>
        <v>25569.1875</v>
      </c>
    </row>
    <row x14ac:dyDescent="0.25" r="127" customHeight="1" ht="17.25">
      <c r="A127" s="6">
        <v>45783</v>
      </c>
      <c r="B127" s="21"/>
      <c r="C127" s="22"/>
      <c r="D127" s="22"/>
      <c r="E127" s="22"/>
      <c r="F127" s="22"/>
      <c r="G127" s="22"/>
      <c r="H127" s="8">
        <v>2.166666666666667</v>
      </c>
      <c r="I127" s="17">
        <f>iferror(if(H127&gt;G127, H127-G127, G127-H127), "")</f>
        <v>25569.1875</v>
      </c>
      <c r="J127" s="18">
        <f>iferror(vlookup(A127, Calendar!$A$2:$C$261, 3, 0), "")</f>
      </c>
      <c r="K127" s="19">
        <f>if(C127&gt;D127, "NO CHECK-OUT", "")</f>
      </c>
      <c r="L127" s="20">
        <f>iferror(if(G127="", L126, if(G127="ATTENTION", L126-H127, if(H127&gt;G127, L126-I127, L126+I127))), "")</f>
        <v>25569.1875</v>
      </c>
    </row>
    <row x14ac:dyDescent="0.25" r="128" customHeight="1" ht="17.25">
      <c r="A128" s="6">
        <v>45784</v>
      </c>
      <c r="B128" s="21"/>
      <c r="C128" s="22"/>
      <c r="D128" s="22"/>
      <c r="E128" s="22"/>
      <c r="F128" s="22"/>
      <c r="G128" s="22"/>
      <c r="H128" s="8">
        <v>2.166666666666667</v>
      </c>
      <c r="I128" s="17">
        <f>iferror(if(H128&gt;G128, H128-G128, G128-H128), "")</f>
        <v>25569.1875</v>
      </c>
      <c r="J128" s="18">
        <f>iferror(vlookup(A128, Calendar!$A$2:$C$261, 3, 0), "")</f>
      </c>
      <c r="K128" s="19">
        <f>if(C128&gt;D128, "NO CHECK-OUT", "")</f>
      </c>
      <c r="L128" s="20">
        <f>iferror(if(G128="", L127, if(G128="ATTENTION", L127-H128, if(H128&gt;G128, L127-I128, L127+I128))), "")</f>
        <v>25569.1875</v>
      </c>
    </row>
    <row x14ac:dyDescent="0.25" r="129" customHeight="1" ht="17.25">
      <c r="A129" s="6">
        <v>45785</v>
      </c>
      <c r="B129" s="21"/>
      <c r="C129" s="22"/>
      <c r="D129" s="22"/>
      <c r="E129" s="22"/>
      <c r="F129" s="22"/>
      <c r="G129" s="22"/>
      <c r="H129" s="8">
        <v>2.166666666666667</v>
      </c>
      <c r="I129" s="17">
        <f>iferror(if(H129&gt;G129, H129-G129, G129-H129), "")</f>
        <v>25569.1875</v>
      </c>
      <c r="J129" s="18">
        <f>iferror(vlookup(A129, Calendar!$A$2:$C$261, 3, 0), "")</f>
      </c>
      <c r="K129" s="19">
        <f>if(C129&gt;D129, "NO CHECK-OUT", "")</f>
      </c>
      <c r="L129" s="20">
        <f>iferror(if(G129="", L128, if(G129="ATTENTION", L128-H129, if(H129&gt;G129, L128-I129, L128+I129))), "")</f>
        <v>25569.1875</v>
      </c>
    </row>
    <row x14ac:dyDescent="0.25" r="130" customHeight="1" ht="17.25">
      <c r="A130" s="6">
        <v>45786</v>
      </c>
      <c r="B130" s="21"/>
      <c r="C130" s="22"/>
      <c r="D130" s="22"/>
      <c r="E130" s="22"/>
      <c r="F130" s="22"/>
      <c r="G130" s="22"/>
      <c r="H130" s="8">
        <v>2.166666666666667</v>
      </c>
      <c r="I130" s="17">
        <f>iferror(if(H130&gt;G130, H130-G130, G130-H130), "")</f>
        <v>25569.1875</v>
      </c>
      <c r="J130" s="18">
        <f>iferror(vlookup(A130, Calendar!$A$2:$C$261, 3, 0), "")</f>
      </c>
      <c r="K130" s="19">
        <f>if(C130&gt;D130, "NO CHECK-OUT", "")</f>
      </c>
      <c r="L130" s="20">
        <f>iferror(if(G130="", L129, if(G130="ATTENTION", L129-H130, if(H130&gt;G130, L129-I130, L129+I130))), "")</f>
        <v>25569.1875</v>
      </c>
    </row>
    <row x14ac:dyDescent="0.25" r="131" customHeight="1" ht="17.25">
      <c r="A131" s="6">
        <v>45787</v>
      </c>
      <c r="B131" s="21"/>
      <c r="C131" s="22"/>
      <c r="D131" s="22"/>
      <c r="E131" s="22"/>
      <c r="F131" s="22"/>
      <c r="G131" s="22"/>
      <c r="H131" s="8">
        <v>2.166666666666667</v>
      </c>
      <c r="I131" s="17">
        <f>iferror(if(H131&gt;G131, H131-G131, G131-H131), "")</f>
        <v>25569.1875</v>
      </c>
      <c r="J131" s="18">
        <f>iferror(vlookup(A131, Calendar!$A$2:$C$261, 3, 0), "")</f>
      </c>
      <c r="K131" s="19">
        <f>if(C131&gt;D131, "NO CHECK-OUT", "")</f>
      </c>
      <c r="L131" s="20">
        <f>iferror(if(G131="", L130, if(G131="ATTENTION", L130-H131, if(H131&gt;G131, L130-I131, L130+I131))), "")</f>
        <v>25569.1875</v>
      </c>
    </row>
    <row x14ac:dyDescent="0.25" r="132" customHeight="1" ht="17.25">
      <c r="A132" s="6">
        <v>45788</v>
      </c>
      <c r="B132" s="21"/>
      <c r="C132" s="22"/>
      <c r="D132" s="22"/>
      <c r="E132" s="22"/>
      <c r="F132" s="22"/>
      <c r="G132" s="22"/>
      <c r="H132" s="8">
        <v>2.166666666666667</v>
      </c>
      <c r="I132" s="17">
        <f>iferror(if(H132&gt;G132, H132-G132, G132-H132), "")</f>
        <v>25569.1875</v>
      </c>
      <c r="J132" s="18">
        <f>iferror(vlookup(A132, Calendar!$A$2:$C$261, 3, 0), "")</f>
      </c>
      <c r="K132" s="19">
        <f>if(C132&gt;D132, "NO CHECK-OUT", "")</f>
      </c>
      <c r="L132" s="20">
        <f>iferror(if(G132="", L131, if(G132="ATTENTION", L131-H132, if(H132&gt;G132, L131-I132, L131+I132))), "")</f>
        <v>25569.1875</v>
      </c>
    </row>
    <row x14ac:dyDescent="0.25" r="133" customHeight="1" ht="17.25">
      <c r="A133" s="6">
        <v>45789</v>
      </c>
      <c r="B133" s="21"/>
      <c r="C133" s="22"/>
      <c r="D133" s="22"/>
      <c r="E133" s="22"/>
      <c r="F133" s="22"/>
      <c r="G133" s="22"/>
      <c r="H133" s="8">
        <v>2.166666666666667</v>
      </c>
      <c r="I133" s="17">
        <f>iferror(if(H133&gt;G133, H133-G133, G133-H133), "")</f>
        <v>25569.1875</v>
      </c>
      <c r="J133" s="18">
        <f>iferror(vlookup(A133, Calendar!$A$2:$C$261, 3, 0), "")</f>
      </c>
      <c r="K133" s="19">
        <f>if(C133&gt;D133, "NO CHECK-OUT", "")</f>
      </c>
      <c r="L133" s="20">
        <f>iferror(if(G133="", L132, if(G133="ATTENTION", L132-H133, if(H133&gt;G133, L132-I133, L132+I133))), "")</f>
        <v>25569.1875</v>
      </c>
    </row>
    <row x14ac:dyDescent="0.25" r="134" customHeight="1" ht="17.25">
      <c r="A134" s="6">
        <v>45790</v>
      </c>
      <c r="B134" s="21"/>
      <c r="C134" s="22"/>
      <c r="D134" s="22"/>
      <c r="E134" s="22"/>
      <c r="F134" s="22"/>
      <c r="G134" s="22"/>
      <c r="H134" s="8">
        <v>2.166666666666667</v>
      </c>
      <c r="I134" s="17">
        <f>iferror(if(H134&gt;G134, H134-G134, G134-H134), "")</f>
        <v>25569.1875</v>
      </c>
      <c r="J134" s="18">
        <f>iferror(vlookup(A134, Calendar!$A$2:$C$261, 3, 0), "")</f>
      </c>
      <c r="K134" s="19">
        <f>if(C134&gt;D134, "NO CHECK-OUT", "")</f>
      </c>
      <c r="L134" s="20">
        <f>iferror(if(G134="", L133, if(G134="ATTENTION", L133-H134, if(H134&gt;G134, L133-I134, L133+I134))), "")</f>
        <v>25569.1875</v>
      </c>
    </row>
    <row x14ac:dyDescent="0.25" r="135" customHeight="1" ht="17.25">
      <c r="A135" s="6">
        <v>45791</v>
      </c>
      <c r="B135" s="21"/>
      <c r="C135" s="22"/>
      <c r="D135" s="22"/>
      <c r="E135" s="22"/>
      <c r="F135" s="22"/>
      <c r="G135" s="22"/>
      <c r="H135" s="8">
        <v>2.166666666666667</v>
      </c>
      <c r="I135" s="17">
        <f>iferror(if(H135&gt;G135, H135-G135, G135-H135), "")</f>
        <v>25569.1875</v>
      </c>
      <c r="J135" s="18">
        <f>iferror(vlookup(A135, Calendar!$A$2:$C$261, 3, 0), "")</f>
      </c>
      <c r="K135" s="19">
        <f>if(C135&gt;D135, "NO CHECK-OUT", "")</f>
      </c>
      <c r="L135" s="20">
        <f>iferror(if(G135="", L134, if(G135="ATTENTION", L134-H135, if(H135&gt;G135, L134-I135, L134+I135))), "")</f>
        <v>25569.1875</v>
      </c>
    </row>
    <row x14ac:dyDescent="0.25" r="136" customHeight="1" ht="17.25">
      <c r="A136" s="6">
        <v>45792</v>
      </c>
      <c r="B136" s="21"/>
      <c r="C136" s="22"/>
      <c r="D136" s="22"/>
      <c r="E136" s="22"/>
      <c r="F136" s="22"/>
      <c r="G136" s="22"/>
      <c r="H136" s="8">
        <v>2.166666666666667</v>
      </c>
      <c r="I136" s="17">
        <f>iferror(if(H136&gt;G136, H136-G136, G136-H136), "")</f>
        <v>25569.1875</v>
      </c>
      <c r="J136" s="18">
        <f>iferror(vlookup(A136, Calendar!$A$2:$C$261, 3, 0), "")</f>
      </c>
      <c r="K136" s="19">
        <f>if(C136&gt;D136, "NO CHECK-OUT", "")</f>
      </c>
      <c r="L136" s="20">
        <f>iferror(if(G136="", L135, if(G136="ATTENTION", L135-H136, if(H136&gt;G136, L135-I136, L135+I136))), "")</f>
        <v>25569.1875</v>
      </c>
    </row>
    <row x14ac:dyDescent="0.25" r="137" customHeight="1" ht="17.25">
      <c r="A137" s="6">
        <v>45793</v>
      </c>
      <c r="B137" s="21"/>
      <c r="C137" s="22"/>
      <c r="D137" s="22"/>
      <c r="E137" s="22"/>
      <c r="F137" s="22"/>
      <c r="G137" s="22"/>
      <c r="H137" s="8">
        <v>2.166666666666667</v>
      </c>
      <c r="I137" s="17">
        <f>iferror(if(H137&gt;G137, H137-G137, G137-H137), "")</f>
        <v>25569.1875</v>
      </c>
      <c r="J137" s="18">
        <f>iferror(vlookup(A137, Calendar!$A$2:$C$261, 3, 0), "")</f>
      </c>
      <c r="K137" s="19">
        <f>if(C137&gt;D137, "NO CHECK-OUT", "")</f>
      </c>
      <c r="L137" s="20">
        <f>iferror(if(G137="", L136, if(G137="ATTENTION", L136-H137, if(H137&gt;G137, L136-I137, L136+I137))), "")</f>
        <v>25569.1875</v>
      </c>
    </row>
    <row x14ac:dyDescent="0.25" r="138" customHeight="1" ht="17.25">
      <c r="A138" s="6">
        <v>45794</v>
      </c>
      <c r="B138" s="21"/>
      <c r="C138" s="22"/>
      <c r="D138" s="22"/>
      <c r="E138" s="22"/>
      <c r="F138" s="22"/>
      <c r="G138" s="22"/>
      <c r="H138" s="8">
        <v>2.166666666666667</v>
      </c>
      <c r="I138" s="17">
        <f>iferror(if(H138&gt;G138, H138-G138, G138-H138), "")</f>
        <v>25569.1875</v>
      </c>
      <c r="J138" s="18">
        <f>iferror(vlookup(A138, Calendar!$A$2:$C$261, 3, 0), "")</f>
      </c>
      <c r="K138" s="19">
        <f>if(C138&gt;D138, "NO CHECK-OUT", "")</f>
      </c>
      <c r="L138" s="20">
        <f>iferror(if(G138="", L137, if(G138="ATTENTION", L137-H138, if(H138&gt;G138, L137-I138, L137+I138))), "")</f>
        <v>25569.1875</v>
      </c>
    </row>
    <row x14ac:dyDescent="0.25" r="139" customHeight="1" ht="17.25">
      <c r="A139" s="6">
        <v>45795</v>
      </c>
      <c r="B139" s="21"/>
      <c r="C139" s="22"/>
      <c r="D139" s="22"/>
      <c r="E139" s="22"/>
      <c r="F139" s="22"/>
      <c r="G139" s="22"/>
      <c r="H139" s="8">
        <v>2.166666666666667</v>
      </c>
      <c r="I139" s="17">
        <f>iferror(if(H139&gt;G139, H139-G139, G139-H139), "")</f>
        <v>25569.1875</v>
      </c>
      <c r="J139" s="18">
        <f>iferror(vlookup(A139, Calendar!$A$2:$C$261, 3, 0), "")</f>
      </c>
      <c r="K139" s="19">
        <f>if(C139&gt;D139, "NO CHECK-OUT", "")</f>
      </c>
      <c r="L139" s="20">
        <f>iferror(if(G139="", L138, if(G139="ATTENTION", L138-H139, if(H139&gt;G139, L138-I139, L138+I139))), "")</f>
        <v>25569.1875</v>
      </c>
    </row>
    <row x14ac:dyDescent="0.25" r="140" customHeight="1" ht="17.25">
      <c r="A140" s="6">
        <v>45796</v>
      </c>
      <c r="B140" s="21"/>
      <c r="C140" s="22"/>
      <c r="D140" s="22"/>
      <c r="E140" s="22"/>
      <c r="F140" s="22"/>
      <c r="G140" s="22"/>
      <c r="H140" s="8">
        <v>2.166666666666667</v>
      </c>
      <c r="I140" s="17">
        <f>iferror(if(H140&gt;G140, H140-G140, G140-H140), "")</f>
        <v>25569.1875</v>
      </c>
      <c r="J140" s="18">
        <f>iferror(vlookup(A140, Calendar!$A$2:$C$261, 3, 0), "")</f>
      </c>
      <c r="K140" s="19">
        <f>if(C140&gt;D140, "NO CHECK-OUT", "")</f>
      </c>
      <c r="L140" s="20">
        <f>iferror(if(G140="", L139, if(G140="ATTENTION", L139-H140, if(H140&gt;G140, L139-I140, L139+I140))), "")</f>
        <v>25569.1875</v>
      </c>
    </row>
    <row x14ac:dyDescent="0.25" r="141" customHeight="1" ht="17.25">
      <c r="A141" s="6">
        <v>45797</v>
      </c>
      <c r="B141" s="21"/>
      <c r="C141" s="22"/>
      <c r="D141" s="22"/>
      <c r="E141" s="22"/>
      <c r="F141" s="22"/>
      <c r="G141" s="22"/>
      <c r="H141" s="8">
        <v>2.166666666666667</v>
      </c>
      <c r="I141" s="17">
        <f>iferror(if(H141&gt;G141, H141-G141, G141-H141), "")</f>
        <v>25569.1875</v>
      </c>
      <c r="J141" s="18">
        <f>iferror(vlookup(A141, Calendar!$A$2:$C$261, 3, 0), "")</f>
      </c>
      <c r="K141" s="19">
        <f>if(C141&gt;D141, "NO CHECK-OUT", "")</f>
      </c>
      <c r="L141" s="20">
        <f>iferror(if(G141="", L140, if(G141="ATTENTION", L140-H141, if(H141&gt;G141, L140-I141, L140+I141))), "")</f>
        <v>25569.1875</v>
      </c>
    </row>
    <row x14ac:dyDescent="0.25" r="142" customHeight="1" ht="17.25">
      <c r="A142" s="6">
        <v>45798</v>
      </c>
      <c r="B142" s="21"/>
      <c r="C142" s="22"/>
      <c r="D142" s="22"/>
      <c r="E142" s="22"/>
      <c r="F142" s="22"/>
      <c r="G142" s="22"/>
      <c r="H142" s="8">
        <v>2.166666666666667</v>
      </c>
      <c r="I142" s="17">
        <f>iferror(if(H142&gt;G142, H142-G142, G142-H142), "")</f>
        <v>25569.1875</v>
      </c>
      <c r="J142" s="18">
        <f>iferror(vlookup(A142, Calendar!$A$2:$C$261, 3, 0), "")</f>
      </c>
      <c r="K142" s="19">
        <f>if(C142&gt;D142, "NO CHECK-OUT", "")</f>
      </c>
      <c r="L142" s="20">
        <f>iferror(if(G142="", L141, if(G142="ATTENTION", L141-H142, if(H142&gt;G142, L141-I142, L141+I142))), "")</f>
        <v>25569.1875</v>
      </c>
    </row>
    <row x14ac:dyDescent="0.25" r="143" customHeight="1" ht="17.25">
      <c r="A143" s="6">
        <v>45799</v>
      </c>
      <c r="B143" s="21"/>
      <c r="C143" s="22"/>
      <c r="D143" s="22"/>
      <c r="E143" s="22"/>
      <c r="F143" s="22"/>
      <c r="G143" s="22"/>
      <c r="H143" s="8">
        <v>2.166666666666667</v>
      </c>
      <c r="I143" s="17">
        <f>iferror(if(H143&gt;G143, H143-G143, G143-H143), "")</f>
        <v>25569.1875</v>
      </c>
      <c r="J143" s="18">
        <f>iferror(vlookup(A143, Calendar!$A$2:$C$261, 3, 0), "")</f>
      </c>
      <c r="K143" s="19">
        <f>if(C143&gt;D143, "NO CHECK-OUT", "")</f>
      </c>
      <c r="L143" s="20">
        <f>iferror(if(G143="", L142, if(G143="ATTENTION", L142-H143, if(H143&gt;G143, L142-I143, L142+I143))), "")</f>
        <v>25569.1875</v>
      </c>
    </row>
    <row x14ac:dyDescent="0.25" r="144" customHeight="1" ht="17.25">
      <c r="A144" s="6">
        <v>45800</v>
      </c>
      <c r="B144" s="21"/>
      <c r="C144" s="22"/>
      <c r="D144" s="22"/>
      <c r="E144" s="22"/>
      <c r="F144" s="22"/>
      <c r="G144" s="22"/>
      <c r="H144" s="8">
        <v>2.166666666666667</v>
      </c>
      <c r="I144" s="17">
        <f>iferror(if(H144&gt;G144, H144-G144, G144-H144), "")</f>
        <v>25569.1875</v>
      </c>
      <c r="J144" s="18">
        <f>iferror(vlookup(A144, Calendar!$A$2:$C$261, 3, 0), "")</f>
      </c>
      <c r="K144" s="19">
        <f>if(C144&gt;D144, "NO CHECK-OUT", "")</f>
      </c>
      <c r="L144" s="20">
        <f>iferror(if(G144="", L143, if(G144="ATTENTION", L143-H144, if(H144&gt;G144, L143-I144, L143+I144))), "")</f>
        <v>25569.1875</v>
      </c>
    </row>
    <row x14ac:dyDescent="0.25" r="145" customHeight="1" ht="17.25">
      <c r="A145" s="6">
        <v>45801</v>
      </c>
      <c r="B145" s="21"/>
      <c r="C145" s="22"/>
      <c r="D145" s="22"/>
      <c r="E145" s="22"/>
      <c r="F145" s="22"/>
      <c r="G145" s="22"/>
      <c r="H145" s="8">
        <v>2.166666666666667</v>
      </c>
      <c r="I145" s="17">
        <f>iferror(if(H145&gt;G145, H145-G145, G145-H145), "")</f>
        <v>25569.1875</v>
      </c>
      <c r="J145" s="18">
        <f>iferror(vlookup(A145, Calendar!$A$2:$C$261, 3, 0), "")</f>
      </c>
      <c r="K145" s="19">
        <f>if(C145&gt;D145, "NO CHECK-OUT", "")</f>
      </c>
      <c r="L145" s="20">
        <f>iferror(if(G145="", L144, if(G145="ATTENTION", L144-H145, if(H145&gt;G145, L144-I145, L144+I145))), "")</f>
        <v>25569.1875</v>
      </c>
    </row>
    <row x14ac:dyDescent="0.25" r="146" customHeight="1" ht="17.25">
      <c r="A146" s="6">
        <v>45802</v>
      </c>
      <c r="B146" s="21"/>
      <c r="C146" s="22"/>
      <c r="D146" s="22"/>
      <c r="E146" s="22"/>
      <c r="F146" s="22"/>
      <c r="G146" s="22"/>
      <c r="H146" s="8">
        <v>2.166666666666667</v>
      </c>
      <c r="I146" s="17">
        <f>iferror(if(H146&gt;G146, H146-G146, G146-H146), "")</f>
        <v>25569.1875</v>
      </c>
      <c r="J146" s="18">
        <f>iferror(vlookup(A146, Calendar!$A$2:$C$261, 3, 0), "")</f>
      </c>
      <c r="K146" s="19">
        <f>if(C146&gt;D146, "NO CHECK-OUT", "")</f>
      </c>
      <c r="L146" s="20">
        <f>iferror(if(G146="", L145, if(G146="ATTENTION", L145-H146, if(H146&gt;G146, L145-I146, L145+I146))), "")</f>
        <v>25569.1875</v>
      </c>
    </row>
    <row x14ac:dyDescent="0.25" r="147" customHeight="1" ht="17.25">
      <c r="A147" s="6">
        <v>45803</v>
      </c>
      <c r="B147" s="21"/>
      <c r="C147" s="22"/>
      <c r="D147" s="22"/>
      <c r="E147" s="22"/>
      <c r="F147" s="22"/>
      <c r="G147" s="22"/>
      <c r="H147" s="8">
        <v>2.166666666666667</v>
      </c>
      <c r="I147" s="17">
        <f>iferror(if(H147&gt;G147, H147-G147, G147-H147), "")</f>
        <v>25569.1875</v>
      </c>
      <c r="J147" s="18">
        <f>iferror(vlookup(A147, Calendar!$A$2:$C$261, 3, 0), "")</f>
      </c>
      <c r="K147" s="19">
        <f>if(C147&gt;D147, "NO CHECK-OUT", "")</f>
      </c>
      <c r="L147" s="20">
        <f>iferror(if(G147="", L146, if(G147="ATTENTION", L146-H147, if(H147&gt;G147, L146-I147, L146+I147))), "")</f>
        <v>25569.1875</v>
      </c>
    </row>
    <row x14ac:dyDescent="0.25" r="148" customHeight="1" ht="17.25">
      <c r="A148" s="6">
        <v>45804</v>
      </c>
      <c r="B148" s="21"/>
      <c r="C148" s="22"/>
      <c r="D148" s="22"/>
      <c r="E148" s="22"/>
      <c r="F148" s="22"/>
      <c r="G148" s="22"/>
      <c r="H148" s="8">
        <v>2.166666666666667</v>
      </c>
      <c r="I148" s="17">
        <f>iferror(if(H148&gt;G148, H148-G148, G148-H148), "")</f>
        <v>25569.1875</v>
      </c>
      <c r="J148" s="18">
        <f>iferror(vlookup(A148, Calendar!$A$2:$C$261, 3, 0), "")</f>
      </c>
      <c r="K148" s="19">
        <f>if(C148&gt;D148, "NO CHECK-OUT", "")</f>
      </c>
      <c r="L148" s="20">
        <f>iferror(if(G148="", L147, if(G148="ATTENTION", L147-H148, if(H148&gt;G148, L147-I148, L147+I148))), "")</f>
        <v>25569.1875</v>
      </c>
    </row>
    <row x14ac:dyDescent="0.25" r="149" customHeight="1" ht="17.25">
      <c r="A149" s="6">
        <v>45805</v>
      </c>
      <c r="B149" s="21"/>
      <c r="C149" s="22"/>
      <c r="D149" s="22"/>
      <c r="E149" s="22"/>
      <c r="F149" s="22"/>
      <c r="G149" s="22"/>
      <c r="H149" s="8">
        <v>2.166666666666667</v>
      </c>
      <c r="I149" s="17">
        <f>iferror(if(H149&gt;G149, H149-G149, G149-H149), "")</f>
        <v>25569.1875</v>
      </c>
      <c r="J149" s="18">
        <f>iferror(vlookup(A149, Calendar!$A$2:$C$261, 3, 0), "")</f>
      </c>
      <c r="K149" s="19">
        <f>if(C149&gt;D149, "NO CHECK-OUT", "")</f>
      </c>
      <c r="L149" s="20">
        <f>iferror(if(G149="", L148, if(G149="ATTENTION", L148-H149, if(H149&gt;G149, L148-I149, L148+I149))), "")</f>
        <v>25569.1875</v>
      </c>
    </row>
    <row x14ac:dyDescent="0.25" r="150" customHeight="1" ht="17.25">
      <c r="A150" s="6">
        <v>45806</v>
      </c>
      <c r="B150" s="21"/>
      <c r="C150" s="22"/>
      <c r="D150" s="22"/>
      <c r="E150" s="22"/>
      <c r="F150" s="22"/>
      <c r="G150" s="22"/>
      <c r="H150" s="8">
        <v>2.166666666666667</v>
      </c>
      <c r="I150" s="17">
        <f>iferror(if(H150&gt;G150, H150-G150, G150-H150), "")</f>
        <v>25569.1875</v>
      </c>
      <c r="J150" s="18">
        <f>iferror(vlookup(A150, Calendar!$A$2:$C$261, 3, 0), "")</f>
      </c>
      <c r="K150" s="19">
        <f>if(C150&gt;D150, "NO CHECK-OUT", "")</f>
      </c>
      <c r="L150" s="20">
        <f>iferror(if(G150="", L149, if(G150="ATTENTION", L149-H150, if(H150&gt;G150, L149-I150, L149+I150))), "")</f>
        <v>25569.1875</v>
      </c>
    </row>
    <row x14ac:dyDescent="0.25" r="151" customHeight="1" ht="17.25">
      <c r="A151" s="6">
        <v>45807</v>
      </c>
      <c r="B151" s="21"/>
      <c r="C151" s="22"/>
      <c r="D151" s="22"/>
      <c r="E151" s="22"/>
      <c r="F151" s="22"/>
      <c r="G151" s="22"/>
      <c r="H151" s="8">
        <v>2.166666666666667</v>
      </c>
      <c r="I151" s="17">
        <f>iferror(if(H151&gt;G151, H151-G151, G151-H151), "")</f>
        <v>25569.1875</v>
      </c>
      <c r="J151" s="18">
        <f>iferror(vlookup(A151, Calendar!$A$2:$C$261, 3, 0), "")</f>
      </c>
      <c r="K151" s="19">
        <f>if(C151&gt;D151, "NO CHECK-OUT", "")</f>
      </c>
      <c r="L151" s="20">
        <f>iferror(if(G151="", L150, if(G151="ATTENTION", L150-H151, if(H151&gt;G151, L150-I151, L150+I151))), "")</f>
        <v>25569.1875</v>
      </c>
    </row>
    <row x14ac:dyDescent="0.25" r="152" customHeight="1" ht="17.25">
      <c r="A152" s="6">
        <v>45808</v>
      </c>
      <c r="B152" s="21"/>
      <c r="C152" s="22"/>
      <c r="D152" s="22"/>
      <c r="E152" s="22"/>
      <c r="F152" s="22"/>
      <c r="G152" s="22"/>
      <c r="H152" s="8">
        <v>2.166666666666667</v>
      </c>
      <c r="I152" s="17">
        <f>iferror(if(H152&gt;G152, H152-G152, G152-H152), "")</f>
        <v>25569.1875</v>
      </c>
      <c r="J152" s="18">
        <f>iferror(vlookup(A152, Calendar!$A$2:$C$261, 3, 0), "")</f>
      </c>
      <c r="K152" s="19">
        <f>if(C152&gt;D152, "NO CHECK-OUT", "")</f>
      </c>
      <c r="L152" s="20">
        <f>iferror(if(G152="", L151, if(G152="ATTENTION", L151-H152, if(H152&gt;G152, L151-I152, L151+I152))), "")</f>
        <v>25569.1875</v>
      </c>
    </row>
    <row x14ac:dyDescent="0.25" r="153" customHeight="1" ht="17.25">
      <c r="A153" s="6">
        <v>45809</v>
      </c>
      <c r="B153" s="21"/>
      <c r="C153" s="22"/>
      <c r="D153" s="22"/>
      <c r="E153" s="22"/>
      <c r="F153" s="22"/>
      <c r="G153" s="22"/>
      <c r="H153" s="8">
        <v>2.166666666666667</v>
      </c>
      <c r="I153" s="17">
        <f>iferror(if(H153&gt;G153, H153-G153, G153-H153), "")</f>
        <v>25569.1875</v>
      </c>
      <c r="J153" s="18">
        <f>iferror(vlookup(A153, Calendar!$A$2:$C$261, 3, 0), "")</f>
      </c>
      <c r="K153" s="19">
        <f>if(C153&gt;D153, "NO CHECK-OUT", "")</f>
      </c>
      <c r="L153" s="20">
        <f>iferror(if(G153="", L152, if(G153="ATTENTION", L152-H153, if(H153&gt;G153, L152-I153, L152+I153))), "")</f>
        <v>25569.1875</v>
      </c>
    </row>
    <row x14ac:dyDescent="0.25" r="154" customHeight="1" ht="17.25">
      <c r="A154" s="6">
        <v>45810</v>
      </c>
      <c r="B154" s="21"/>
      <c r="C154" s="22"/>
      <c r="D154" s="22"/>
      <c r="E154" s="22"/>
      <c r="F154" s="22"/>
      <c r="G154" s="22"/>
      <c r="H154" s="8">
        <v>2.166666666666667</v>
      </c>
      <c r="I154" s="17">
        <f>iferror(if(H154&gt;G154, H154-G154, G154-H154), "")</f>
        <v>25569.1875</v>
      </c>
      <c r="J154" s="18">
        <f>iferror(vlookup(A154, Calendar!$A$2:$C$261, 3, 0), "")</f>
      </c>
      <c r="K154" s="19">
        <f>if(C154&gt;D154, "NO CHECK-OUT", "")</f>
      </c>
      <c r="L154" s="20">
        <f>iferror(if(G154="", L153, if(G154="ATTENTION", L153-H154, if(H154&gt;G154, L153-I154, L153+I154))), "")</f>
        <v>25569.1875</v>
      </c>
    </row>
    <row x14ac:dyDescent="0.25" r="155" customHeight="1" ht="17.25">
      <c r="A155" s="6">
        <v>45811</v>
      </c>
      <c r="B155" s="21"/>
      <c r="C155" s="22"/>
      <c r="D155" s="22"/>
      <c r="E155" s="22"/>
      <c r="F155" s="22"/>
      <c r="G155" s="22"/>
      <c r="H155" s="8">
        <v>2.166666666666667</v>
      </c>
      <c r="I155" s="17">
        <f>iferror(if(H155&gt;G155, H155-G155, G155-H155), "")</f>
        <v>25569.1875</v>
      </c>
      <c r="J155" s="18">
        <f>iferror(vlookup(A155, Calendar!$A$2:$C$261, 3, 0), "")</f>
      </c>
      <c r="K155" s="19">
        <f>if(C155&gt;D155, "NO CHECK-OUT", "")</f>
      </c>
      <c r="L155" s="20">
        <f>iferror(if(G155="", L154, if(G155="ATTENTION", L154-H155, if(H155&gt;G155, L154-I155, L154+I155))), "")</f>
        <v>25569.1875</v>
      </c>
    </row>
    <row x14ac:dyDescent="0.25" r="156" customHeight="1" ht="17.25">
      <c r="A156" s="6">
        <v>45812</v>
      </c>
      <c r="B156" s="21"/>
      <c r="C156" s="22"/>
      <c r="D156" s="22"/>
      <c r="E156" s="22"/>
      <c r="F156" s="22"/>
      <c r="G156" s="22"/>
      <c r="H156" s="8">
        <v>2.166666666666667</v>
      </c>
      <c r="I156" s="17">
        <f>iferror(if(H156&gt;G156, H156-G156, G156-H156), "")</f>
        <v>25569.1875</v>
      </c>
      <c r="J156" s="18">
        <f>iferror(vlookup(A156, Calendar!$A$2:$C$261, 3, 0), "")</f>
      </c>
      <c r="K156" s="19">
        <f>if(C156&gt;D156, "NO CHECK-OUT", "")</f>
      </c>
      <c r="L156" s="20">
        <f>iferror(if(G156="", L155, if(G156="ATTENTION", L155-H156, if(H156&gt;G156, L155-I156, L155+I156))), "")</f>
        <v>25569.1875</v>
      </c>
    </row>
    <row x14ac:dyDescent="0.25" r="157" customHeight="1" ht="17.25">
      <c r="A157" s="6">
        <v>45813</v>
      </c>
      <c r="B157" s="21"/>
      <c r="C157" s="22"/>
      <c r="D157" s="22"/>
      <c r="E157" s="22"/>
      <c r="F157" s="22"/>
      <c r="G157" s="22"/>
      <c r="H157" s="8">
        <v>2.166666666666667</v>
      </c>
      <c r="I157" s="17">
        <f>iferror(if(H157&gt;G157, H157-G157, G157-H157), "")</f>
        <v>25569.1875</v>
      </c>
      <c r="J157" s="18">
        <f>iferror(vlookup(A157, Calendar!$A$2:$C$261, 3, 0), "")</f>
      </c>
      <c r="K157" s="19">
        <f>if(C157&gt;D157, "NO CHECK-OUT", "")</f>
      </c>
      <c r="L157" s="20">
        <f>iferror(if(G157="", L156, if(G157="ATTENTION", L156-H157, if(H157&gt;G157, L156-I157, L156+I157))), "")</f>
        <v>25569.1875</v>
      </c>
    </row>
    <row x14ac:dyDescent="0.25" r="158" customHeight="1" ht="17.25">
      <c r="A158" s="6">
        <v>45814</v>
      </c>
      <c r="B158" s="21"/>
      <c r="C158" s="22"/>
      <c r="D158" s="22"/>
      <c r="E158" s="22"/>
      <c r="F158" s="22"/>
      <c r="G158" s="22"/>
      <c r="H158" s="8">
        <v>2.166666666666667</v>
      </c>
      <c r="I158" s="17">
        <f>iferror(if(H158&gt;G158, H158-G158, G158-H158), "")</f>
        <v>25569.1875</v>
      </c>
      <c r="J158" s="18">
        <f>iferror(vlookup(A158, Calendar!$A$2:$C$261, 3, 0), "")</f>
      </c>
      <c r="K158" s="19">
        <f>if(C158&gt;D158, "NO CHECK-OUT", "")</f>
      </c>
      <c r="L158" s="20">
        <f>iferror(if(G158="", L157, if(G158="ATTENTION", L157-H158, if(H158&gt;G158, L157-I158, L157+I158))), "")</f>
        <v>25569.1875</v>
      </c>
    </row>
    <row x14ac:dyDescent="0.25" r="159" customHeight="1" ht="17.25">
      <c r="A159" s="6">
        <v>45815</v>
      </c>
      <c r="B159" s="21"/>
      <c r="C159" s="22"/>
      <c r="D159" s="22"/>
      <c r="E159" s="22"/>
      <c r="F159" s="22"/>
      <c r="G159" s="22"/>
      <c r="H159" s="8">
        <v>2.166666666666667</v>
      </c>
      <c r="I159" s="17">
        <f>iferror(if(H159&gt;G159, H159-G159, G159-H159), "")</f>
        <v>25569.1875</v>
      </c>
      <c r="J159" s="18">
        <f>iferror(vlookup(A159, Calendar!$A$2:$C$261, 3, 0), "")</f>
      </c>
      <c r="K159" s="19">
        <f>if(C159&gt;D159, "NO CHECK-OUT", "")</f>
      </c>
      <c r="L159" s="20">
        <f>iferror(if(G159="", L158, if(G159="ATTENTION", L158-H159, if(H159&gt;G159, L158-I159, L158+I159))), "")</f>
        <v>25569.1875</v>
      </c>
    </row>
    <row x14ac:dyDescent="0.25" r="160" customHeight="1" ht="17.25">
      <c r="A160" s="6">
        <v>45816</v>
      </c>
      <c r="B160" s="21"/>
      <c r="C160" s="22"/>
      <c r="D160" s="22"/>
      <c r="E160" s="22"/>
      <c r="F160" s="22"/>
      <c r="G160" s="22"/>
      <c r="H160" s="8">
        <v>2.166666666666667</v>
      </c>
      <c r="I160" s="17">
        <f>iferror(if(H160&gt;G160, H160-G160, G160-H160), "")</f>
        <v>25569.1875</v>
      </c>
      <c r="J160" s="18">
        <f>iferror(vlookup(A160, Calendar!$A$2:$C$261, 3, 0), "")</f>
      </c>
      <c r="K160" s="19">
        <f>if(C160&gt;D160, "NO CHECK-OUT", "")</f>
      </c>
      <c r="L160" s="20">
        <f>iferror(if(G160="", L159, if(G160="ATTENTION", L159-H160, if(H160&gt;G160, L159-I160, L159+I160))), "")</f>
        <v>25569.1875</v>
      </c>
    </row>
    <row x14ac:dyDescent="0.25" r="161" customHeight="1" ht="17.25">
      <c r="A161" s="6">
        <v>45817</v>
      </c>
      <c r="B161" s="21"/>
      <c r="C161" s="22"/>
      <c r="D161" s="22"/>
      <c r="E161" s="22"/>
      <c r="F161" s="22"/>
      <c r="G161" s="22"/>
      <c r="H161" s="8">
        <v>2.166666666666667</v>
      </c>
      <c r="I161" s="17">
        <f>iferror(if(H161&gt;G161, H161-G161, G161-H161), "")</f>
        <v>25569.1875</v>
      </c>
      <c r="J161" s="18">
        <f>iferror(vlookup(A161, Calendar!$A$2:$C$261, 3, 0), "")</f>
      </c>
      <c r="K161" s="19">
        <f>if(C161&gt;D161, "NO CHECK-OUT", "")</f>
      </c>
      <c r="L161" s="20">
        <f>iferror(if(G161="", L160, if(G161="ATTENTION", L160-H161, if(H161&gt;G161, L160-I161, L160+I161))), "")</f>
        <v>25569.1875</v>
      </c>
    </row>
    <row x14ac:dyDescent="0.25" r="162" customHeight="1" ht="17.25">
      <c r="A162" s="6">
        <v>45818</v>
      </c>
      <c r="B162" s="21"/>
      <c r="C162" s="22"/>
      <c r="D162" s="22"/>
      <c r="E162" s="22"/>
      <c r="F162" s="22"/>
      <c r="G162" s="22"/>
      <c r="H162" s="8">
        <v>2.166666666666667</v>
      </c>
      <c r="I162" s="17">
        <f>iferror(if(H162&gt;G162, H162-G162, G162-H162), "")</f>
        <v>25569.1875</v>
      </c>
      <c r="J162" s="18">
        <f>iferror(vlookup(A162, Calendar!$A$2:$C$261, 3, 0), "")</f>
      </c>
      <c r="K162" s="19">
        <f>if(C162&gt;D162, "NO CHECK-OUT", "")</f>
      </c>
      <c r="L162" s="20">
        <f>iferror(if(G162="", L161, if(G162="ATTENTION", L161-H162, if(H162&gt;G162, L161-I162, L161+I162))), "")</f>
        <v>25569.1875</v>
      </c>
    </row>
    <row x14ac:dyDescent="0.25" r="163" customHeight="1" ht="17.25">
      <c r="A163" s="6">
        <v>45819</v>
      </c>
      <c r="B163" s="21"/>
      <c r="C163" s="22"/>
      <c r="D163" s="22"/>
      <c r="E163" s="22"/>
      <c r="F163" s="22"/>
      <c r="G163" s="22"/>
      <c r="H163" s="8">
        <v>2.166666666666667</v>
      </c>
      <c r="I163" s="17">
        <f>iferror(if(H163&gt;G163, H163-G163, G163-H163), "")</f>
        <v>25569.1875</v>
      </c>
      <c r="J163" s="18">
        <f>iferror(vlookup(A163, Calendar!$A$2:$C$261, 3, 0), "")</f>
      </c>
      <c r="K163" s="19">
        <f>if(C163&gt;D163, "NO CHECK-OUT", "")</f>
      </c>
      <c r="L163" s="20">
        <f>iferror(if(G163="", L162, if(G163="ATTENTION", L162-H163, if(H163&gt;G163, L162-I163, L162+I163))), "")</f>
        <v>25569.1875</v>
      </c>
    </row>
    <row x14ac:dyDescent="0.25" r="164" customHeight="1" ht="17.25">
      <c r="A164" s="6">
        <v>45820</v>
      </c>
      <c r="B164" s="21"/>
      <c r="C164" s="22"/>
      <c r="D164" s="22"/>
      <c r="E164" s="22"/>
      <c r="F164" s="22"/>
      <c r="G164" s="22"/>
      <c r="H164" s="8">
        <v>2.166666666666667</v>
      </c>
      <c r="I164" s="17">
        <f>iferror(if(H164&gt;G164, H164-G164, G164-H164), "")</f>
        <v>25569.1875</v>
      </c>
      <c r="J164" s="18">
        <f>iferror(vlookup(A164, Calendar!$A$2:$C$261, 3, 0), "")</f>
      </c>
      <c r="K164" s="19">
        <f>if(C164&gt;D164, "NO CHECK-OUT", "")</f>
      </c>
      <c r="L164" s="20">
        <f>iferror(if(G164="", L163, if(G164="ATTENTION", L163-H164, if(H164&gt;G164, L163-I164, L163+I164))), "")</f>
        <v>25569.1875</v>
      </c>
    </row>
    <row x14ac:dyDescent="0.25" r="165" customHeight="1" ht="17.25">
      <c r="A165" s="6">
        <v>45821</v>
      </c>
      <c r="B165" s="21"/>
      <c r="C165" s="22"/>
      <c r="D165" s="22"/>
      <c r="E165" s="22"/>
      <c r="F165" s="22"/>
      <c r="G165" s="22"/>
      <c r="H165" s="8">
        <v>2.166666666666667</v>
      </c>
      <c r="I165" s="17">
        <f>iferror(if(H165&gt;G165, H165-G165, G165-H165), "")</f>
        <v>25569.1875</v>
      </c>
      <c r="J165" s="18">
        <f>iferror(vlookup(A165, Calendar!$A$2:$C$261, 3, 0), "")</f>
      </c>
      <c r="K165" s="19">
        <f>if(C165&gt;D165, "NO CHECK-OUT", "")</f>
      </c>
      <c r="L165" s="20">
        <f>iferror(if(G165="", L164, if(G165="ATTENTION", L164-H165, if(H165&gt;G165, L164-I165, L164+I165))), "")</f>
        <v>25569.1875</v>
      </c>
    </row>
    <row x14ac:dyDescent="0.25" r="166" customHeight="1" ht="17.25">
      <c r="A166" s="6">
        <v>45822</v>
      </c>
      <c r="B166" s="21"/>
      <c r="C166" s="22"/>
      <c r="D166" s="22"/>
      <c r="E166" s="22"/>
      <c r="F166" s="22"/>
      <c r="G166" s="22"/>
      <c r="H166" s="8">
        <v>2.166666666666667</v>
      </c>
      <c r="I166" s="17">
        <f>iferror(if(H166&gt;G166, H166-G166, G166-H166), "")</f>
        <v>25569.1875</v>
      </c>
      <c r="J166" s="18">
        <f>iferror(vlookup(A166, Calendar!$A$2:$C$261, 3, 0), "")</f>
      </c>
      <c r="K166" s="19">
        <f>if(C166&gt;D166, "NO CHECK-OUT", "")</f>
      </c>
      <c r="L166" s="20">
        <f>iferror(if(G166="", L165, if(G166="ATTENTION", L165-H166, if(H166&gt;G166, L165-I166, L165+I166))), "")</f>
        <v>25569.1875</v>
      </c>
    </row>
    <row x14ac:dyDescent="0.25" r="167" customHeight="1" ht="17.25">
      <c r="A167" s="6">
        <v>45823</v>
      </c>
      <c r="B167" s="21"/>
      <c r="C167" s="22"/>
      <c r="D167" s="22"/>
      <c r="E167" s="22"/>
      <c r="F167" s="22"/>
      <c r="G167" s="22"/>
      <c r="H167" s="8">
        <v>2.166666666666667</v>
      </c>
      <c r="I167" s="17">
        <f>iferror(if(H167&gt;G167, H167-G167, G167-H167), "")</f>
        <v>25569.1875</v>
      </c>
      <c r="J167" s="18">
        <f>iferror(vlookup(A167, Calendar!$A$2:$C$261, 3, 0), "")</f>
      </c>
      <c r="K167" s="19">
        <f>if(C167&gt;D167, "NO CHECK-OUT", "")</f>
      </c>
      <c r="L167" s="20">
        <f>iferror(if(G167="", L166, if(G167="ATTENTION", L166-H167, if(H167&gt;G167, L166-I167, L166+I167))), "")</f>
        <v>25569.1875</v>
      </c>
    </row>
    <row x14ac:dyDescent="0.25" r="168" customHeight="1" ht="17.25">
      <c r="A168" s="6">
        <v>45824</v>
      </c>
      <c r="B168" s="21"/>
      <c r="C168" s="22"/>
      <c r="D168" s="22"/>
      <c r="E168" s="22"/>
      <c r="F168" s="22"/>
      <c r="G168" s="22"/>
      <c r="H168" s="8">
        <v>2.166666666666667</v>
      </c>
      <c r="I168" s="17">
        <f>iferror(if(H168&gt;G168, H168-G168, G168-H168), "")</f>
        <v>25569.1875</v>
      </c>
      <c r="J168" s="18">
        <f>iferror(vlookup(A168, Calendar!$A$2:$C$261, 3, 0), "")</f>
      </c>
      <c r="K168" s="19">
        <f>if(C168&gt;D168, "NO CHECK-OUT", "")</f>
      </c>
      <c r="L168" s="20">
        <f>iferror(if(G168="", L167, if(G168="ATTENTION", L167-H168, if(H168&gt;G168, L167-I168, L167+I168))), "")</f>
        <v>25569.1875</v>
      </c>
    </row>
    <row x14ac:dyDescent="0.25" r="169" customHeight="1" ht="17.25">
      <c r="A169" s="6">
        <v>45825</v>
      </c>
      <c r="B169" s="21"/>
      <c r="C169" s="22"/>
      <c r="D169" s="22"/>
      <c r="E169" s="22"/>
      <c r="F169" s="22"/>
      <c r="G169" s="22"/>
      <c r="H169" s="8">
        <v>2.166666666666667</v>
      </c>
      <c r="I169" s="17">
        <f>iferror(if(H169&gt;G169, H169-G169, G169-H169), "")</f>
        <v>25569.1875</v>
      </c>
      <c r="J169" s="18">
        <f>iferror(vlookup(A169, Calendar!$A$2:$C$261, 3, 0), "")</f>
      </c>
      <c r="K169" s="19">
        <f>if(C169&gt;D169, "NO CHECK-OUT", "")</f>
      </c>
      <c r="L169" s="20">
        <f>iferror(if(G169="", L168, if(G169="ATTENTION", L168-H169, if(H169&gt;G169, L168-I169, L168+I169))), "")</f>
        <v>25569.1875</v>
      </c>
    </row>
    <row x14ac:dyDescent="0.25" r="170" customHeight="1" ht="17.25">
      <c r="A170" s="6">
        <v>45826</v>
      </c>
      <c r="B170" s="21"/>
      <c r="C170" s="22"/>
      <c r="D170" s="22"/>
      <c r="E170" s="22"/>
      <c r="F170" s="22"/>
      <c r="G170" s="22"/>
      <c r="H170" s="8">
        <v>2.166666666666667</v>
      </c>
      <c r="I170" s="17">
        <f>iferror(if(H170&gt;G170, H170-G170, G170-H170), "")</f>
        <v>25569.1875</v>
      </c>
      <c r="J170" s="18">
        <f>iferror(vlookup(A170, Calendar!$A$2:$C$261, 3, 0), "")</f>
      </c>
      <c r="K170" s="19">
        <f>if(C170&gt;D170, "NO CHECK-OUT", "")</f>
      </c>
      <c r="L170" s="20">
        <f>iferror(if(G170="", L169, if(G170="ATTENTION", L169-H170, if(H170&gt;G170, L169-I170, L169+I170))), "")</f>
        <v>25569.1875</v>
      </c>
    </row>
    <row x14ac:dyDescent="0.25" r="171" customHeight="1" ht="17.25">
      <c r="A171" s="6">
        <v>45827</v>
      </c>
      <c r="B171" s="21"/>
      <c r="C171" s="22"/>
      <c r="D171" s="22"/>
      <c r="E171" s="22"/>
      <c r="F171" s="22"/>
      <c r="G171" s="22"/>
      <c r="H171" s="8">
        <v>2.166666666666667</v>
      </c>
      <c r="I171" s="17">
        <f>iferror(if(H171&gt;G171, H171-G171, G171-H171), "")</f>
        <v>25569.1875</v>
      </c>
      <c r="J171" s="18">
        <f>iferror(vlookup(A171, Calendar!$A$2:$C$261, 3, 0), "")</f>
      </c>
      <c r="K171" s="19">
        <f>if(C171&gt;D171, "NO CHECK-OUT", "")</f>
      </c>
      <c r="L171" s="20">
        <f>iferror(if(G171="", L170, if(G171="ATTENTION", L170-H171, if(H171&gt;G171, L170-I171, L170+I171))), "")</f>
        <v>25569.1875</v>
      </c>
    </row>
    <row x14ac:dyDescent="0.25" r="172" customHeight="1" ht="17.25">
      <c r="A172" s="6">
        <v>45828</v>
      </c>
      <c r="B172" s="21"/>
      <c r="C172" s="22"/>
      <c r="D172" s="22"/>
      <c r="E172" s="22"/>
      <c r="F172" s="22"/>
      <c r="G172" s="22"/>
      <c r="H172" s="8">
        <v>2.166666666666667</v>
      </c>
      <c r="I172" s="17">
        <f>iferror(if(H172&gt;G172, H172-G172, G172-H172), "")</f>
        <v>25569.1875</v>
      </c>
      <c r="J172" s="18">
        <f>iferror(vlookup(A172, Calendar!$A$2:$C$261, 3, 0), "")</f>
      </c>
      <c r="K172" s="19">
        <f>if(C172&gt;D172, "NO CHECK-OUT", "")</f>
      </c>
      <c r="L172" s="20">
        <f>iferror(if(G172="", L171, if(G172="ATTENTION", L171-H172, if(H172&gt;G172, L171-I172, L171+I172))), "")</f>
        <v>25569.1875</v>
      </c>
    </row>
    <row x14ac:dyDescent="0.25" r="173" customHeight="1" ht="17.25">
      <c r="A173" s="6">
        <v>45829</v>
      </c>
      <c r="B173" s="21"/>
      <c r="C173" s="22"/>
      <c r="D173" s="22"/>
      <c r="E173" s="22"/>
      <c r="F173" s="22"/>
      <c r="G173" s="22"/>
      <c r="H173" s="8">
        <v>2.166666666666667</v>
      </c>
      <c r="I173" s="17">
        <f>iferror(if(H173&gt;G173, H173-G173, G173-H173), "")</f>
        <v>25569.1875</v>
      </c>
      <c r="J173" s="18">
        <f>iferror(vlookup(A173, Calendar!$A$2:$C$261, 3, 0), "")</f>
      </c>
      <c r="K173" s="19">
        <f>if(C173&gt;D173, "NO CHECK-OUT", "")</f>
      </c>
      <c r="L173" s="20">
        <f>iferror(if(G173="", L172, if(G173="ATTENTION", L172-H173, if(H173&gt;G173, L172-I173, L172+I173))), "")</f>
        <v>25569.1875</v>
      </c>
    </row>
    <row x14ac:dyDescent="0.25" r="174" customHeight="1" ht="17.25">
      <c r="A174" s="6">
        <v>45830</v>
      </c>
      <c r="B174" s="21"/>
      <c r="C174" s="22"/>
      <c r="D174" s="22"/>
      <c r="E174" s="22"/>
      <c r="F174" s="22"/>
      <c r="G174" s="22"/>
      <c r="H174" s="8">
        <v>2.166666666666667</v>
      </c>
      <c r="I174" s="17">
        <f>iferror(if(H174&gt;G174, H174-G174, G174-H174), "")</f>
        <v>25569.1875</v>
      </c>
      <c r="J174" s="18">
        <f>iferror(vlookup(A174, Calendar!$A$2:$C$261, 3, 0), "")</f>
      </c>
      <c r="K174" s="19">
        <f>if(C174&gt;D174, "NO CHECK-OUT", "")</f>
      </c>
      <c r="L174" s="20">
        <f>iferror(if(G174="", L173, if(G174="ATTENTION", L173-H174, if(H174&gt;G174, L173-I174, L173+I174))), "")</f>
        <v>25569.1875</v>
      </c>
    </row>
    <row x14ac:dyDescent="0.25" r="175" customHeight="1" ht="17.25">
      <c r="A175" s="6">
        <v>45831</v>
      </c>
      <c r="B175" s="21"/>
      <c r="C175" s="22"/>
      <c r="D175" s="22"/>
      <c r="E175" s="22"/>
      <c r="F175" s="22"/>
      <c r="G175" s="22"/>
      <c r="H175" s="8">
        <v>2.166666666666667</v>
      </c>
      <c r="I175" s="17">
        <f>iferror(if(H175&gt;G175, H175-G175, G175-H175), "")</f>
        <v>25569.1875</v>
      </c>
      <c r="J175" s="18">
        <f>iferror(vlookup(A175, Calendar!$A$2:$C$261, 3, 0), "")</f>
      </c>
      <c r="K175" s="19">
        <f>if(C175&gt;D175, "NO CHECK-OUT", "")</f>
      </c>
      <c r="L175" s="20">
        <f>iferror(if(G175="", L174, if(G175="ATTENTION", L174-H175, if(H175&gt;G175, L174-I175, L174+I175))), "")</f>
        <v>25569.1875</v>
      </c>
    </row>
    <row x14ac:dyDescent="0.25" r="176" customHeight="1" ht="17.25">
      <c r="A176" s="6">
        <v>45832</v>
      </c>
      <c r="B176" s="21"/>
      <c r="C176" s="22"/>
      <c r="D176" s="22"/>
      <c r="E176" s="22"/>
      <c r="F176" s="22"/>
      <c r="G176" s="22"/>
      <c r="H176" s="8">
        <v>2.166666666666667</v>
      </c>
      <c r="I176" s="17">
        <f>iferror(if(H176&gt;G176, H176-G176, G176-H176), "")</f>
        <v>25569.1875</v>
      </c>
      <c r="J176" s="18">
        <f>iferror(vlookup(A176, Calendar!$A$2:$C$261, 3, 0), "")</f>
      </c>
      <c r="K176" s="19">
        <f>if(C176&gt;D176, "NO CHECK-OUT", "")</f>
      </c>
      <c r="L176" s="20">
        <f>iferror(if(G176="", L175, if(G176="ATTENTION", L175-H176, if(H176&gt;G176, L175-I176, L175+I176))), "")</f>
        <v>25569.1875</v>
      </c>
    </row>
    <row x14ac:dyDescent="0.25" r="177" customHeight="1" ht="17.25">
      <c r="A177" s="6">
        <v>45833</v>
      </c>
      <c r="B177" s="21"/>
      <c r="C177" s="22"/>
      <c r="D177" s="22"/>
      <c r="E177" s="22"/>
      <c r="F177" s="22"/>
      <c r="G177" s="22"/>
      <c r="H177" s="8">
        <v>2.166666666666667</v>
      </c>
      <c r="I177" s="17">
        <f>iferror(if(H177&gt;G177, H177-G177, G177-H177), "")</f>
        <v>25569.1875</v>
      </c>
      <c r="J177" s="18">
        <f>iferror(vlookup(A177, Calendar!$A$2:$C$261, 3, 0), "")</f>
      </c>
      <c r="K177" s="19">
        <f>if(C177&gt;D177, "NO CHECK-OUT", "")</f>
      </c>
      <c r="L177" s="20">
        <f>iferror(if(G177="", L176, if(G177="ATTENTION", L176-H177, if(H177&gt;G177, L176-I177, L176+I177))), "")</f>
        <v>25569.1875</v>
      </c>
    </row>
    <row x14ac:dyDescent="0.25" r="178" customHeight="1" ht="17.25">
      <c r="A178" s="6">
        <v>45834</v>
      </c>
      <c r="B178" s="21"/>
      <c r="C178" s="22"/>
      <c r="D178" s="22"/>
      <c r="E178" s="22"/>
      <c r="F178" s="22"/>
      <c r="G178" s="22"/>
      <c r="H178" s="8">
        <v>2.166666666666667</v>
      </c>
      <c r="I178" s="17">
        <f>iferror(if(H178&gt;G178, H178-G178, G178-H178), "")</f>
        <v>25569.1875</v>
      </c>
      <c r="J178" s="18">
        <f>iferror(vlookup(A178, Calendar!$A$2:$C$261, 3, 0), "")</f>
      </c>
      <c r="K178" s="19">
        <f>if(C178&gt;D178, "NO CHECK-OUT", "")</f>
      </c>
      <c r="L178" s="20">
        <f>iferror(if(G178="", L177, if(G178="ATTENTION", L177-H178, if(H178&gt;G178, L177-I178, L177+I178))), "")</f>
        <v>25569.1875</v>
      </c>
    </row>
    <row x14ac:dyDescent="0.25" r="179" customHeight="1" ht="17.25">
      <c r="A179" s="6">
        <v>45835</v>
      </c>
      <c r="B179" s="21"/>
      <c r="C179" s="22"/>
      <c r="D179" s="22"/>
      <c r="E179" s="22"/>
      <c r="F179" s="22"/>
      <c r="G179" s="22"/>
      <c r="H179" s="8">
        <v>2.166666666666667</v>
      </c>
      <c r="I179" s="17">
        <f>iferror(if(H179&gt;G179, H179-G179, G179-H179), "")</f>
        <v>25569.1875</v>
      </c>
      <c r="J179" s="18">
        <f>iferror(vlookup(A179, Calendar!$A$2:$C$261, 3, 0), "")</f>
      </c>
      <c r="K179" s="19">
        <f>if(C179&gt;D179, "NO CHECK-OUT", "")</f>
      </c>
      <c r="L179" s="20">
        <f>iferror(if(G179="", L178, if(G179="ATTENTION", L178-H179, if(H179&gt;G179, L178-I179, L178+I179))), "")</f>
        <v>25569.1875</v>
      </c>
    </row>
    <row x14ac:dyDescent="0.25" r="180" customHeight="1" ht="17.25">
      <c r="A180" s="6">
        <v>45836</v>
      </c>
      <c r="B180" s="21"/>
      <c r="C180" s="22"/>
      <c r="D180" s="22"/>
      <c r="E180" s="22"/>
      <c r="F180" s="22"/>
      <c r="G180" s="22"/>
      <c r="H180" s="8">
        <v>2.166666666666667</v>
      </c>
      <c r="I180" s="17">
        <f>iferror(if(H180&gt;G180, H180-G180, G180-H180), "")</f>
        <v>25569.1875</v>
      </c>
      <c r="J180" s="18">
        <f>iferror(vlookup(A180, Calendar!$A$2:$C$261, 3, 0), "")</f>
      </c>
      <c r="K180" s="19">
        <f>if(C180&gt;D180, "NO CHECK-OUT", "")</f>
      </c>
      <c r="L180" s="20">
        <f>iferror(if(G180="", L179, if(G180="ATTENTION", L179-H180, if(H180&gt;G180, L179-I180, L179+I180))), "")</f>
        <v>25569.1875</v>
      </c>
    </row>
    <row x14ac:dyDescent="0.25" r="181" customHeight="1" ht="17.25">
      <c r="A181" s="6">
        <v>45837</v>
      </c>
      <c r="B181" s="21"/>
      <c r="C181" s="22"/>
      <c r="D181" s="22"/>
      <c r="E181" s="22"/>
      <c r="F181" s="22"/>
      <c r="G181" s="22"/>
      <c r="H181" s="8">
        <v>2.166666666666667</v>
      </c>
      <c r="I181" s="17">
        <f>iferror(if(H181&gt;G181, H181-G181, G181-H181), "")</f>
        <v>25569.1875</v>
      </c>
      <c r="J181" s="18">
        <f>iferror(vlookup(A181, Calendar!$A$2:$C$261, 3, 0), "")</f>
      </c>
      <c r="K181" s="19">
        <f>if(C181&gt;D181, "NO CHECK-OUT", "")</f>
      </c>
      <c r="L181" s="20">
        <f>iferror(if(G181="", L180, if(G181="ATTENTION", L180-H181, if(H181&gt;G181, L180-I181, L180+I181))), "")</f>
        <v>25569.1875</v>
      </c>
    </row>
    <row x14ac:dyDescent="0.25" r="182" customHeight="1" ht="17.25">
      <c r="A182" s="6">
        <v>45838</v>
      </c>
      <c r="B182" s="21"/>
      <c r="C182" s="22"/>
      <c r="D182" s="22"/>
      <c r="E182" s="22"/>
      <c r="F182" s="22"/>
      <c r="G182" s="22"/>
      <c r="H182" s="8">
        <v>2.166666666666667</v>
      </c>
      <c r="I182" s="17">
        <f>iferror(if(H182&gt;G182, H182-G182, G182-H182), "")</f>
        <v>25569.1875</v>
      </c>
      <c r="J182" s="18">
        <f>iferror(vlookup(A182, Calendar!$A$2:$C$261, 3, 0), "")</f>
      </c>
      <c r="K182" s="19">
        <f>if(C182&gt;D182, "NO CHECK-OUT", "")</f>
      </c>
      <c r="L182" s="20">
        <f>iferror(if(G182="", L181, if(G182="ATTENTION", L181-H182, if(H182&gt;G182, L181-I182, L181+I182))), "")</f>
        <v>25569.1875</v>
      </c>
    </row>
    <row x14ac:dyDescent="0.25" r="183" customHeight="1" ht="17.25">
      <c r="A183" s="6">
        <v>45839</v>
      </c>
      <c r="B183" s="21"/>
      <c r="C183" s="22"/>
      <c r="D183" s="22"/>
      <c r="E183" s="22"/>
      <c r="F183" s="22"/>
      <c r="G183" s="22"/>
      <c r="H183" s="8">
        <v>2.166666666666667</v>
      </c>
      <c r="I183" s="17">
        <f>iferror(if(H183&gt;G183, H183-G183, G183-H183), "")</f>
        <v>25569.1875</v>
      </c>
      <c r="J183" s="18">
        <f>iferror(vlookup(A183, Calendar!$A$2:$C$261, 3, 0), "")</f>
      </c>
      <c r="K183" s="19">
        <f>if(C183&gt;D183, "NO CHECK-OUT", "")</f>
      </c>
      <c r="L183" s="20">
        <f>iferror(if(G183="", L182, if(G183="ATTENTION", L182-H183, if(H183&gt;G183, L182-I183, L182+I183))), "")</f>
        <v>25569.1875</v>
      </c>
    </row>
    <row x14ac:dyDescent="0.25" r="184" customHeight="1" ht="17.25">
      <c r="A184" s="6">
        <v>45840</v>
      </c>
      <c r="B184" s="21"/>
      <c r="C184" s="22"/>
      <c r="D184" s="22"/>
      <c r="E184" s="22"/>
      <c r="F184" s="22"/>
      <c r="G184" s="22"/>
      <c r="H184" s="8">
        <v>2.166666666666667</v>
      </c>
      <c r="I184" s="17">
        <f>iferror(if(H184&gt;G184, H184-G184, G184-H184), "")</f>
        <v>25569.1875</v>
      </c>
      <c r="J184" s="18">
        <f>iferror(vlookup(A184, Calendar!$A$2:$C$261, 3, 0), "")</f>
      </c>
      <c r="K184" s="19">
        <f>if(C184&gt;D184, "NO CHECK-OUT", "")</f>
      </c>
      <c r="L184" s="20">
        <f>iferror(if(G184="", L183, if(G184="ATTENTION", L183-H184, if(H184&gt;G184, L183-I184, L183+I184))), "")</f>
        <v>25569.1875</v>
      </c>
    </row>
    <row x14ac:dyDescent="0.25" r="185" customHeight="1" ht="17.25">
      <c r="A185" s="6">
        <v>45841</v>
      </c>
      <c r="B185" s="21"/>
      <c r="C185" s="22"/>
      <c r="D185" s="22"/>
      <c r="E185" s="22"/>
      <c r="F185" s="22"/>
      <c r="G185" s="22"/>
      <c r="H185" s="8">
        <v>2.166666666666667</v>
      </c>
      <c r="I185" s="17">
        <f>iferror(if(H185&gt;G185, H185-G185, G185-H185), "")</f>
        <v>25569.1875</v>
      </c>
      <c r="J185" s="18">
        <f>iferror(vlookup(A185, Calendar!$A$2:$C$261, 3, 0), "")</f>
      </c>
      <c r="K185" s="19">
        <f>if(C185&gt;D185, "NO CHECK-OUT", "")</f>
      </c>
      <c r="L185" s="20">
        <f>iferror(if(G185="", L184, if(G185="ATTENTION", L184-H185, if(H185&gt;G185, L184-I185, L184+I185))), "")</f>
        <v>25569.1875</v>
      </c>
    </row>
    <row x14ac:dyDescent="0.25" r="186" customHeight="1" ht="17.25">
      <c r="A186" s="6">
        <v>45842</v>
      </c>
      <c r="B186" s="21"/>
      <c r="C186" s="22"/>
      <c r="D186" s="22"/>
      <c r="E186" s="22"/>
      <c r="F186" s="22"/>
      <c r="G186" s="22"/>
      <c r="H186" s="8">
        <v>2.166666666666667</v>
      </c>
      <c r="I186" s="17">
        <f>iferror(if(H186&gt;G186, H186-G186, G186-H186), "")</f>
        <v>25569.1875</v>
      </c>
      <c r="J186" s="18">
        <f>iferror(vlookup(A186, Calendar!$A$2:$C$261, 3, 0), "")</f>
      </c>
      <c r="K186" s="19">
        <f>if(C186&gt;D186, "NO CHECK-OUT", "")</f>
      </c>
      <c r="L186" s="20">
        <f>iferror(if(G186="", L185, if(G186="ATTENTION", L185-H186, if(H186&gt;G186, L185-I186, L185+I186))), "")</f>
        <v>25569.1875</v>
      </c>
    </row>
    <row x14ac:dyDescent="0.25" r="187" customHeight="1" ht="17.25">
      <c r="A187" s="6">
        <v>45843</v>
      </c>
      <c r="B187" s="21"/>
      <c r="C187" s="22"/>
      <c r="D187" s="22"/>
      <c r="E187" s="22"/>
      <c r="F187" s="22"/>
      <c r="G187" s="22"/>
      <c r="H187" s="8">
        <v>2.166666666666667</v>
      </c>
      <c r="I187" s="17">
        <f>iferror(if(H187&gt;G187, H187-G187, G187-H187), "")</f>
        <v>25569.1875</v>
      </c>
      <c r="J187" s="18">
        <f>iferror(vlookup(A187, Calendar!$A$2:$C$261, 3, 0), "")</f>
      </c>
      <c r="K187" s="19">
        <f>if(C187&gt;D187, "NO CHECK-OUT", "")</f>
      </c>
      <c r="L187" s="20">
        <f>iferror(if(G187="", L186, if(G187="ATTENTION", L186-H187, if(H187&gt;G187, L186-I187, L186+I187))), "")</f>
        <v>25569.1875</v>
      </c>
    </row>
    <row x14ac:dyDescent="0.25" r="188" customHeight="1" ht="17.25">
      <c r="A188" s="6">
        <v>45844</v>
      </c>
      <c r="B188" s="21"/>
      <c r="C188" s="22"/>
      <c r="D188" s="22"/>
      <c r="E188" s="22"/>
      <c r="F188" s="22"/>
      <c r="G188" s="22"/>
      <c r="H188" s="8">
        <v>2.166666666666667</v>
      </c>
      <c r="I188" s="17">
        <f>iferror(if(H188&gt;G188, H188-G188, G188-H188), "")</f>
        <v>25569.1875</v>
      </c>
      <c r="J188" s="18">
        <f>iferror(vlookup(A188, Calendar!$A$2:$C$261, 3, 0), "")</f>
      </c>
      <c r="K188" s="19">
        <f>if(C188&gt;D188, "NO CHECK-OUT", "")</f>
      </c>
      <c r="L188" s="20">
        <f>iferror(if(G188="", L187, if(G188="ATTENTION", L187-H188, if(H188&gt;G188, L187-I188, L187+I188))), "")</f>
        <v>25569.1875</v>
      </c>
    </row>
    <row x14ac:dyDescent="0.25" r="189" customHeight="1" ht="17.25">
      <c r="A189" s="6">
        <v>45845</v>
      </c>
      <c r="B189" s="21"/>
      <c r="C189" s="22"/>
      <c r="D189" s="22"/>
      <c r="E189" s="22"/>
      <c r="F189" s="22"/>
      <c r="G189" s="22"/>
      <c r="H189" s="8">
        <v>2.166666666666667</v>
      </c>
      <c r="I189" s="17">
        <f>iferror(if(H189&gt;G189, H189-G189, G189-H189), "")</f>
        <v>25569.1875</v>
      </c>
      <c r="J189" s="18">
        <f>iferror(vlookup(A189, Calendar!$A$2:$C$261, 3, 0), "")</f>
      </c>
      <c r="K189" s="19">
        <f>if(C189&gt;D189, "NO CHECK-OUT", "")</f>
      </c>
      <c r="L189" s="20">
        <f>iferror(if(G189="", L188, if(G189="ATTENTION", L188-H189, if(H189&gt;G189, L188-I189, L188+I189))), "")</f>
        <v>25569.1875</v>
      </c>
    </row>
    <row x14ac:dyDescent="0.25" r="190" customHeight="1" ht="17.25">
      <c r="A190" s="6">
        <v>45846</v>
      </c>
      <c r="B190" s="21"/>
      <c r="C190" s="22"/>
      <c r="D190" s="22"/>
      <c r="E190" s="22"/>
      <c r="F190" s="22"/>
      <c r="G190" s="22"/>
      <c r="H190" s="8">
        <v>2.166666666666667</v>
      </c>
      <c r="I190" s="17">
        <f>iferror(if(H190&gt;G190, H190-G190, G190-H190), "")</f>
        <v>25569.1875</v>
      </c>
      <c r="J190" s="18">
        <f>iferror(vlookup(A190, Calendar!$A$2:$C$261, 3, 0), "")</f>
      </c>
      <c r="K190" s="19">
        <f>if(C190&gt;D190, "NO CHECK-OUT", "")</f>
      </c>
      <c r="L190" s="20">
        <f>iferror(if(G190="", L189, if(G190="ATTENTION", L189-H190, if(H190&gt;G190, L189-I190, L189+I190))), "")</f>
        <v>25569.1875</v>
      </c>
    </row>
    <row x14ac:dyDescent="0.25" r="191" customHeight="1" ht="17.25">
      <c r="A191" s="6">
        <v>45847</v>
      </c>
      <c r="B191" s="21"/>
      <c r="C191" s="22"/>
      <c r="D191" s="22"/>
      <c r="E191" s="22"/>
      <c r="F191" s="22"/>
      <c r="G191" s="22"/>
      <c r="H191" s="8">
        <v>2.166666666666667</v>
      </c>
      <c r="I191" s="17">
        <f>iferror(if(H191&gt;G191, H191-G191, G191-H191), "")</f>
        <v>25569.1875</v>
      </c>
      <c r="J191" s="18">
        <f>iferror(vlookup(A191, Calendar!$A$2:$C$261, 3, 0), "")</f>
      </c>
      <c r="K191" s="19">
        <f>if(C191&gt;D191, "NO CHECK-OUT", "")</f>
      </c>
      <c r="L191" s="20">
        <f>iferror(if(G191="", L190, if(G191="ATTENTION", L190-H191, if(H191&gt;G191, L190-I191, L190+I191))), "")</f>
        <v>25569.1875</v>
      </c>
    </row>
    <row x14ac:dyDescent="0.25" r="192" customHeight="1" ht="17.25">
      <c r="A192" s="6">
        <v>45848</v>
      </c>
      <c r="B192" s="21"/>
      <c r="C192" s="22"/>
      <c r="D192" s="22"/>
      <c r="E192" s="22"/>
      <c r="F192" s="22"/>
      <c r="G192" s="22"/>
      <c r="H192" s="8">
        <v>2.166666666666667</v>
      </c>
      <c r="I192" s="17">
        <f>iferror(if(H192&gt;G192, H192-G192, G192-H192), "")</f>
        <v>25569.1875</v>
      </c>
      <c r="J192" s="18">
        <f>iferror(vlookup(A192, Calendar!$A$2:$C$261, 3, 0), "")</f>
      </c>
      <c r="K192" s="19">
        <f>if(C192&gt;D192, "NO CHECK-OUT", "")</f>
      </c>
      <c r="L192" s="20">
        <f>iferror(if(G192="", L191, if(G192="ATTENTION", L191-H192, if(H192&gt;G192, L191-I192, L191+I192))), "")</f>
        <v>25569.1875</v>
      </c>
    </row>
    <row x14ac:dyDescent="0.25" r="193" customHeight="1" ht="17.25">
      <c r="A193" s="6">
        <v>45849</v>
      </c>
      <c r="B193" s="21"/>
      <c r="C193" s="22"/>
      <c r="D193" s="22"/>
      <c r="E193" s="22"/>
      <c r="F193" s="22"/>
      <c r="G193" s="22"/>
      <c r="H193" s="8">
        <v>2.166666666666667</v>
      </c>
      <c r="I193" s="17">
        <f>iferror(if(H193&gt;G193, H193-G193, G193-H193), "")</f>
        <v>25569.1875</v>
      </c>
      <c r="J193" s="18">
        <f>iferror(vlookup(A193, Calendar!$A$2:$C$261, 3, 0), "")</f>
      </c>
      <c r="K193" s="19">
        <f>if(C193&gt;D193, "NO CHECK-OUT", "")</f>
      </c>
      <c r="L193" s="20">
        <f>iferror(if(G193="", L192, if(G193="ATTENTION", L192-H193, if(H193&gt;G193, L192-I193, L192+I193))), "")</f>
        <v>25569.1875</v>
      </c>
    </row>
    <row x14ac:dyDescent="0.25" r="194" customHeight="1" ht="17.25">
      <c r="A194" s="6">
        <v>45850</v>
      </c>
      <c r="B194" s="21"/>
      <c r="C194" s="22"/>
      <c r="D194" s="22"/>
      <c r="E194" s="22"/>
      <c r="F194" s="22"/>
      <c r="G194" s="22"/>
      <c r="H194" s="8">
        <v>2.166666666666667</v>
      </c>
      <c r="I194" s="17">
        <f>iferror(if(H194&gt;G194, H194-G194, G194-H194), "")</f>
        <v>25569.1875</v>
      </c>
      <c r="J194" s="18">
        <f>iferror(vlookup(A194, Calendar!$A$2:$C$261, 3, 0), "")</f>
      </c>
      <c r="K194" s="19">
        <f>if(C194&gt;D194, "NO CHECK-OUT", "")</f>
      </c>
      <c r="L194" s="20">
        <f>iferror(if(G194="", L193, if(G194="ATTENTION", L193-H194, if(H194&gt;G194, L193-I194, L193+I194))), "")</f>
        <v>25569.1875</v>
      </c>
    </row>
    <row x14ac:dyDescent="0.25" r="195" customHeight="1" ht="17.25">
      <c r="A195" s="6">
        <v>45851</v>
      </c>
      <c r="B195" s="21"/>
      <c r="C195" s="22"/>
      <c r="D195" s="22"/>
      <c r="E195" s="22"/>
      <c r="F195" s="22"/>
      <c r="G195" s="22"/>
      <c r="H195" s="8">
        <v>2.166666666666667</v>
      </c>
      <c r="I195" s="17">
        <f>iferror(if(H195&gt;G195, H195-G195, G195-H195), "")</f>
        <v>25569.1875</v>
      </c>
      <c r="J195" s="18">
        <f>iferror(vlookup(A195, Calendar!$A$2:$C$261, 3, 0), "")</f>
      </c>
      <c r="K195" s="19">
        <f>if(C195&gt;D195, "NO CHECK-OUT", "")</f>
      </c>
      <c r="L195" s="20">
        <f>iferror(if(G195="", L194, if(G195="ATTENTION", L194-H195, if(H195&gt;G195, L194-I195, L194+I195))), "")</f>
        <v>25569.1875</v>
      </c>
    </row>
    <row x14ac:dyDescent="0.25" r="196" customHeight="1" ht="17.25">
      <c r="A196" s="6">
        <v>45852</v>
      </c>
      <c r="B196" s="21"/>
      <c r="C196" s="22"/>
      <c r="D196" s="22"/>
      <c r="E196" s="22"/>
      <c r="F196" s="22"/>
      <c r="G196" s="22"/>
      <c r="H196" s="8">
        <v>2.166666666666667</v>
      </c>
      <c r="I196" s="17">
        <f>iferror(if(H196&gt;G196, H196-G196, G196-H196), "")</f>
        <v>25569.1875</v>
      </c>
      <c r="J196" s="18">
        <f>iferror(vlookup(A196, Calendar!$A$2:$C$261, 3, 0), "")</f>
      </c>
      <c r="K196" s="19">
        <f>if(C196&gt;D196, "NO CHECK-OUT", "")</f>
      </c>
      <c r="L196" s="20">
        <f>iferror(if(G196="", L195, if(G196="ATTENTION", L195-H196, if(H196&gt;G196, L195-I196, L195+I196))), "")</f>
        <v>25569.1875</v>
      </c>
    </row>
    <row x14ac:dyDescent="0.25" r="197" customHeight="1" ht="17.25">
      <c r="A197" s="6">
        <v>45853</v>
      </c>
      <c r="B197" s="21"/>
      <c r="C197" s="22"/>
      <c r="D197" s="22"/>
      <c r="E197" s="22"/>
      <c r="F197" s="22"/>
      <c r="G197" s="22"/>
      <c r="H197" s="8">
        <v>2.166666666666667</v>
      </c>
      <c r="I197" s="17">
        <f>iferror(if(H197&gt;G197, H197-G197, G197-H197), "")</f>
        <v>25569.1875</v>
      </c>
      <c r="J197" s="18">
        <f>iferror(vlookup(A197, Calendar!$A$2:$C$261, 3, 0), "")</f>
      </c>
      <c r="K197" s="19">
        <f>if(C197&gt;D197, "NO CHECK-OUT", "")</f>
      </c>
      <c r="L197" s="20">
        <f>iferror(if(G197="", L196, if(G197="ATTENTION", L196-H197, if(H197&gt;G197, L196-I197, L196+I197))), "")</f>
        <v>25569.1875</v>
      </c>
    </row>
    <row x14ac:dyDescent="0.25" r="198" customHeight="1" ht="17.25">
      <c r="A198" s="6">
        <v>45854</v>
      </c>
      <c r="B198" s="21"/>
      <c r="C198" s="22"/>
      <c r="D198" s="22"/>
      <c r="E198" s="22"/>
      <c r="F198" s="22"/>
      <c r="G198" s="22"/>
      <c r="H198" s="8">
        <v>2.166666666666667</v>
      </c>
      <c r="I198" s="17">
        <f>iferror(if(H198&gt;G198, H198-G198, G198-H198), "")</f>
        <v>25569.1875</v>
      </c>
      <c r="J198" s="18">
        <f>iferror(vlookup(A198, Calendar!$A$2:$C$261, 3, 0), "")</f>
      </c>
      <c r="K198" s="19">
        <f>if(C198&gt;D198, "NO CHECK-OUT", "")</f>
      </c>
      <c r="L198" s="20">
        <f>iferror(if(G198="", L197, if(G198="ATTENTION", L197-H198, if(H198&gt;G198, L197-I198, L197+I198))), "")</f>
        <v>25569.1875</v>
      </c>
    </row>
    <row x14ac:dyDescent="0.25" r="199" customHeight="1" ht="17.25">
      <c r="A199" s="6">
        <v>45855</v>
      </c>
      <c r="B199" s="21"/>
      <c r="C199" s="22"/>
      <c r="D199" s="22"/>
      <c r="E199" s="22"/>
      <c r="F199" s="22"/>
      <c r="G199" s="22"/>
      <c r="H199" s="8">
        <v>2.166666666666667</v>
      </c>
      <c r="I199" s="17">
        <f>iferror(if(H199&gt;G199, H199-G199, G199-H199), "")</f>
        <v>25569.1875</v>
      </c>
      <c r="J199" s="18">
        <f>iferror(vlookup(A199, Calendar!$A$2:$C$261, 3, 0), "")</f>
      </c>
      <c r="K199" s="19">
        <f>if(C199&gt;D199, "NO CHECK-OUT", "")</f>
      </c>
      <c r="L199" s="20">
        <f>iferror(if(G199="", L198, if(G199="ATTENTION", L198-H199, if(H199&gt;G199, L198-I199, L198+I199))), "")</f>
        <v>25569.1875</v>
      </c>
    </row>
    <row x14ac:dyDescent="0.25" r="200" customHeight="1" ht="17.25">
      <c r="A200" s="6">
        <v>45856</v>
      </c>
      <c r="B200" s="21"/>
      <c r="C200" s="22"/>
      <c r="D200" s="22"/>
      <c r="E200" s="22"/>
      <c r="F200" s="22"/>
      <c r="G200" s="22"/>
      <c r="H200" s="8">
        <v>2.166666666666667</v>
      </c>
      <c r="I200" s="17">
        <f>iferror(if(H200&gt;G200, H200-G200, G200-H200), "")</f>
        <v>25569.1875</v>
      </c>
      <c r="J200" s="18">
        <f>iferror(vlookup(A200, Calendar!$A$2:$C$261, 3, 0), "")</f>
      </c>
      <c r="K200" s="19">
        <f>if(C200&gt;D200, "NO CHECK-OUT", "")</f>
      </c>
      <c r="L200" s="20">
        <f>iferror(if(G200="", L199, if(G200="ATTENTION", L199-H200, if(H200&gt;G200, L199-I200, L199+I200))), "")</f>
        <v>25569.1875</v>
      </c>
    </row>
    <row x14ac:dyDescent="0.25" r="201" customHeight="1" ht="17.25">
      <c r="A201" s="6">
        <v>45857</v>
      </c>
      <c r="B201" s="21"/>
      <c r="C201" s="22"/>
      <c r="D201" s="22"/>
      <c r="E201" s="22"/>
      <c r="F201" s="22"/>
      <c r="G201" s="22"/>
      <c r="H201" s="8">
        <v>2.166666666666667</v>
      </c>
      <c r="I201" s="17">
        <f>iferror(if(H201&gt;G201, H201-G201, G201-H201), "")</f>
        <v>25569.1875</v>
      </c>
      <c r="J201" s="18">
        <f>iferror(vlookup(A201, Calendar!$A$2:$C$261, 3, 0), "")</f>
      </c>
      <c r="K201" s="19">
        <f>if(C201&gt;D201, "NO CHECK-OUT", "")</f>
      </c>
      <c r="L201" s="20">
        <f>iferror(if(G201="", L200, if(G201="ATTENTION", L200-H201, if(H201&gt;G201, L200-I201, L200+I201))), "")</f>
        <v>25569.1875</v>
      </c>
    </row>
    <row x14ac:dyDescent="0.25" r="202" customHeight="1" ht="17.25">
      <c r="A202" s="6">
        <v>45858</v>
      </c>
      <c r="B202" s="21"/>
      <c r="C202" s="22"/>
      <c r="D202" s="22"/>
      <c r="E202" s="22"/>
      <c r="F202" s="22"/>
      <c r="G202" s="22"/>
      <c r="H202" s="8">
        <v>2.166666666666667</v>
      </c>
      <c r="I202" s="17">
        <f>iferror(if(H202&gt;G202, H202-G202, G202-H202), "")</f>
        <v>25569.1875</v>
      </c>
      <c r="J202" s="18">
        <f>iferror(vlookup(A202, Calendar!$A$2:$C$261, 3, 0), "")</f>
      </c>
      <c r="K202" s="19">
        <f>if(C202&gt;D202, "NO CHECK-OUT", "")</f>
      </c>
      <c r="L202" s="20">
        <f>iferror(if(G202="", L201, if(G202="ATTENTION", L201-H202, if(H202&gt;G202, L201-I202, L201+I202))), "")</f>
        <v>25569.1875</v>
      </c>
    </row>
    <row x14ac:dyDescent="0.25" r="203" customHeight="1" ht="17.25">
      <c r="A203" s="6">
        <v>45859</v>
      </c>
      <c r="B203" s="21"/>
      <c r="C203" s="22"/>
      <c r="D203" s="22"/>
      <c r="E203" s="22"/>
      <c r="F203" s="22"/>
      <c r="G203" s="22"/>
      <c r="H203" s="8">
        <v>2.166666666666667</v>
      </c>
      <c r="I203" s="17">
        <f>iferror(if(H203&gt;G203, H203-G203, G203-H203), "")</f>
        <v>25569.1875</v>
      </c>
      <c r="J203" s="18">
        <f>iferror(vlookup(A203, Calendar!$A$2:$C$261, 3, 0), "")</f>
      </c>
      <c r="K203" s="19">
        <f>if(C203&gt;D203, "NO CHECK-OUT", "")</f>
      </c>
      <c r="L203" s="20">
        <f>iferror(if(G203="", L202, if(G203="ATTENTION", L202-H203, if(H203&gt;G203, L202-I203, L202+I203))), "")</f>
        <v>25569.1875</v>
      </c>
    </row>
    <row x14ac:dyDescent="0.25" r="204" customHeight="1" ht="17.25">
      <c r="A204" s="6">
        <v>45860</v>
      </c>
      <c r="B204" s="21"/>
      <c r="C204" s="22"/>
      <c r="D204" s="22"/>
      <c r="E204" s="22"/>
      <c r="F204" s="22"/>
      <c r="G204" s="22"/>
      <c r="H204" s="8">
        <v>2.166666666666667</v>
      </c>
      <c r="I204" s="17">
        <f>iferror(if(H204&gt;G204, H204-G204, G204-H204), "")</f>
        <v>25569.1875</v>
      </c>
      <c r="J204" s="18">
        <f>iferror(vlookup(A204, Calendar!$A$2:$C$261, 3, 0), "")</f>
      </c>
      <c r="K204" s="19">
        <f>if(C204&gt;D204, "NO CHECK-OUT", "")</f>
      </c>
      <c r="L204" s="20">
        <f>iferror(if(G204="", L203, if(G204="ATTENTION", L203-H204, if(H204&gt;G204, L203-I204, L203+I204))), "")</f>
        <v>25569.1875</v>
      </c>
    </row>
    <row x14ac:dyDescent="0.25" r="205" customHeight="1" ht="17.25">
      <c r="A205" s="6">
        <v>45861</v>
      </c>
      <c r="B205" s="21"/>
      <c r="C205" s="22"/>
      <c r="D205" s="22"/>
      <c r="E205" s="22"/>
      <c r="F205" s="22"/>
      <c r="G205" s="22"/>
      <c r="H205" s="8">
        <v>2.166666666666667</v>
      </c>
      <c r="I205" s="17">
        <f>iferror(if(H205&gt;G205, H205-G205, G205-H205), "")</f>
        <v>25569.1875</v>
      </c>
      <c r="J205" s="18">
        <f>iferror(vlookup(A205, Calendar!$A$2:$C$261, 3, 0), "")</f>
      </c>
      <c r="K205" s="19">
        <f>if(C205&gt;D205, "NO CHECK-OUT", "")</f>
      </c>
      <c r="L205" s="20">
        <f>iferror(if(G205="", L204, if(G205="ATTENTION", L204-H205, if(H205&gt;G205, L204-I205, L204+I205))), "")</f>
        <v>25569.1875</v>
      </c>
    </row>
    <row x14ac:dyDescent="0.25" r="206" customHeight="1" ht="17.25">
      <c r="A206" s="6">
        <v>45862</v>
      </c>
      <c r="B206" s="21"/>
      <c r="C206" s="22"/>
      <c r="D206" s="22"/>
      <c r="E206" s="22"/>
      <c r="F206" s="22"/>
      <c r="G206" s="22"/>
      <c r="H206" s="8">
        <v>2.166666666666667</v>
      </c>
      <c r="I206" s="17">
        <f>iferror(if(H206&gt;G206, H206-G206, G206-H206), "")</f>
        <v>25569.1875</v>
      </c>
      <c r="J206" s="18">
        <f>iferror(vlookup(A206, Calendar!$A$2:$C$261, 3, 0), "")</f>
      </c>
      <c r="K206" s="19">
        <f>if(C206&gt;D206, "NO CHECK-OUT", "")</f>
      </c>
      <c r="L206" s="20">
        <f>iferror(if(G206="", L205, if(G206="ATTENTION", L205-H206, if(H206&gt;G206, L205-I206, L205+I206))), "")</f>
        <v>25569.1875</v>
      </c>
    </row>
    <row x14ac:dyDescent="0.25" r="207" customHeight="1" ht="17.25">
      <c r="A207" s="6">
        <v>45863</v>
      </c>
      <c r="B207" s="21"/>
      <c r="C207" s="22"/>
      <c r="D207" s="22"/>
      <c r="E207" s="22"/>
      <c r="F207" s="22"/>
      <c r="G207" s="22"/>
      <c r="H207" s="8">
        <v>2.166666666666667</v>
      </c>
      <c r="I207" s="17">
        <f>iferror(if(H207&gt;G207, H207-G207, G207-H207), "")</f>
        <v>25569.1875</v>
      </c>
      <c r="J207" s="18">
        <f>iferror(vlookup(A207, Calendar!$A$2:$C$261, 3, 0), "")</f>
      </c>
      <c r="K207" s="19">
        <f>if(C207&gt;D207, "NO CHECK-OUT", "")</f>
      </c>
      <c r="L207" s="20">
        <f>iferror(if(G207="", L206, if(G207="ATTENTION", L206-H207, if(H207&gt;G207, L206-I207, L206+I207))), "")</f>
        <v>25569.1875</v>
      </c>
    </row>
    <row x14ac:dyDescent="0.25" r="208" customHeight="1" ht="17.25">
      <c r="A208" s="6">
        <v>45864</v>
      </c>
      <c r="B208" s="21"/>
      <c r="C208" s="22"/>
      <c r="D208" s="22"/>
      <c r="E208" s="22"/>
      <c r="F208" s="22"/>
      <c r="G208" s="22"/>
      <c r="H208" s="8">
        <v>2.166666666666667</v>
      </c>
      <c r="I208" s="17">
        <f>iferror(if(H208&gt;G208, H208-G208, G208-H208), "")</f>
        <v>25569.1875</v>
      </c>
      <c r="J208" s="18">
        <f>iferror(vlookup(A208, Calendar!$A$2:$C$261, 3, 0), "")</f>
      </c>
      <c r="K208" s="19">
        <f>if(C208&gt;D208, "NO CHECK-OUT", "")</f>
      </c>
      <c r="L208" s="20">
        <f>iferror(if(G208="", L207, if(G208="ATTENTION", L207-H208, if(H208&gt;G208, L207-I208, L207+I208))), "")</f>
        <v>25569.1875</v>
      </c>
    </row>
    <row x14ac:dyDescent="0.25" r="209" customHeight="1" ht="17.25">
      <c r="A209" s="6">
        <v>45865</v>
      </c>
      <c r="B209" s="21"/>
      <c r="C209" s="22"/>
      <c r="D209" s="22"/>
      <c r="E209" s="22"/>
      <c r="F209" s="22"/>
      <c r="G209" s="22"/>
      <c r="H209" s="8">
        <v>2.166666666666667</v>
      </c>
      <c r="I209" s="17">
        <f>iferror(if(H209&gt;G209, H209-G209, G209-H209), "")</f>
        <v>25569.1875</v>
      </c>
      <c r="J209" s="18">
        <f>iferror(vlookup(A209, Calendar!$A$2:$C$261, 3, 0), "")</f>
      </c>
      <c r="K209" s="19">
        <f>if(C209&gt;D209, "NO CHECK-OUT", "")</f>
      </c>
      <c r="L209" s="20">
        <f>iferror(if(G209="", L208, if(G209="ATTENTION", L208-H209, if(H209&gt;G209, L208-I209, L208+I209))), "")</f>
        <v>25569.1875</v>
      </c>
    </row>
    <row x14ac:dyDescent="0.25" r="210" customHeight="1" ht="17.25">
      <c r="A210" s="6">
        <v>45866</v>
      </c>
      <c r="B210" s="21"/>
      <c r="C210" s="22"/>
      <c r="D210" s="22"/>
      <c r="E210" s="22"/>
      <c r="F210" s="22"/>
      <c r="G210" s="22"/>
      <c r="H210" s="8">
        <v>2.166666666666667</v>
      </c>
      <c r="I210" s="17">
        <f>iferror(if(H210&gt;G210, H210-G210, G210-H210), "")</f>
        <v>25569.1875</v>
      </c>
      <c r="J210" s="18">
        <f>iferror(vlookup(A210, Calendar!$A$2:$C$261, 3, 0), "")</f>
      </c>
      <c r="K210" s="19">
        <f>if(C210&gt;D210, "NO CHECK-OUT", "")</f>
      </c>
      <c r="L210" s="20">
        <f>iferror(if(G210="", L209, if(G210="ATTENTION", L209-H210, if(H210&gt;G210, L209-I210, L209+I210))), "")</f>
        <v>25569.1875</v>
      </c>
    </row>
    <row x14ac:dyDescent="0.25" r="211" customHeight="1" ht="17.25">
      <c r="A211" s="6">
        <v>45867</v>
      </c>
      <c r="B211" s="21"/>
      <c r="C211" s="22"/>
      <c r="D211" s="22"/>
      <c r="E211" s="22"/>
      <c r="F211" s="22"/>
      <c r="G211" s="22"/>
      <c r="H211" s="8">
        <v>2.166666666666667</v>
      </c>
      <c r="I211" s="17">
        <f>iferror(if(H211&gt;G211, H211-G211, G211-H211), "")</f>
        <v>25569.1875</v>
      </c>
      <c r="J211" s="18">
        <f>iferror(vlookup(A211, Calendar!$A$2:$C$261, 3, 0), "")</f>
      </c>
      <c r="K211" s="19">
        <f>if(C211&gt;D211, "NO CHECK-OUT", "")</f>
      </c>
      <c r="L211" s="20">
        <f>iferror(if(G211="", L210, if(G211="ATTENTION", L210-H211, if(H211&gt;G211, L210-I211, L210+I211))), "")</f>
        <v>25569.1875</v>
      </c>
    </row>
    <row x14ac:dyDescent="0.25" r="212" customHeight="1" ht="17.25">
      <c r="A212" s="6">
        <v>45868</v>
      </c>
      <c r="B212" s="21"/>
      <c r="C212" s="22"/>
      <c r="D212" s="22"/>
      <c r="E212" s="22"/>
      <c r="F212" s="22"/>
      <c r="G212" s="22"/>
      <c r="H212" s="8">
        <v>2.166666666666667</v>
      </c>
      <c r="I212" s="17">
        <f>iferror(if(H212&gt;G212, H212-G212, G212-H212), "")</f>
        <v>25569.1875</v>
      </c>
      <c r="J212" s="18">
        <f>iferror(vlookup(A212, Calendar!$A$2:$C$261, 3, 0), "")</f>
      </c>
      <c r="K212" s="19">
        <f>if(C212&gt;D212, "NO CHECK-OUT", "")</f>
      </c>
      <c r="L212" s="20">
        <f>iferror(if(G212="", L211, if(G212="ATTENTION", L211-H212, if(H212&gt;G212, L211-I212, L211+I212))), "")</f>
        <v>25569.1875</v>
      </c>
    </row>
    <row x14ac:dyDescent="0.25" r="213" customHeight="1" ht="17.25">
      <c r="A213" s="6">
        <v>45869</v>
      </c>
      <c r="B213" s="21"/>
      <c r="C213" s="22"/>
      <c r="D213" s="22"/>
      <c r="E213" s="22"/>
      <c r="F213" s="22"/>
      <c r="G213" s="22"/>
      <c r="H213" s="8">
        <v>2.166666666666667</v>
      </c>
      <c r="I213" s="17">
        <f>iferror(if(H213&gt;G213, H213-G213, G213-H213), "")</f>
        <v>25569.1875</v>
      </c>
      <c r="J213" s="18">
        <f>iferror(vlookup(A213, Calendar!$A$2:$C$261, 3, 0), "")</f>
      </c>
      <c r="K213" s="19">
        <f>if(C213&gt;D213, "NO CHECK-OUT", "")</f>
      </c>
      <c r="L213" s="20">
        <f>iferror(if(G213="", L212, if(G213="ATTENTION", L212-H213, if(H213&gt;G213, L212-I213, L212+I213))), "")</f>
        <v>25569.1875</v>
      </c>
    </row>
    <row x14ac:dyDescent="0.25" r="214" customHeight="1" ht="17.25">
      <c r="A214" s="6">
        <v>45870</v>
      </c>
      <c r="B214" s="21"/>
      <c r="C214" s="22"/>
      <c r="D214" s="22"/>
      <c r="E214" s="22"/>
      <c r="F214" s="22"/>
      <c r="G214" s="22"/>
      <c r="H214" s="8">
        <v>2.166666666666667</v>
      </c>
      <c r="I214" s="17">
        <f>iferror(if(H214&gt;G214, H214-G214, G214-H214), "")</f>
        <v>25569.1875</v>
      </c>
      <c r="J214" s="18">
        <f>iferror(vlookup(A214, Calendar!$A$2:$C$261, 3, 0), "")</f>
      </c>
      <c r="K214" s="19">
        <f>if(C214&gt;D214, "NO CHECK-OUT", "")</f>
      </c>
      <c r="L214" s="20">
        <f>iferror(if(G214="", L213, if(G214="ATTENTION", L213-H214, if(H214&gt;G214, L213-I214, L213+I214))), "")</f>
        <v>25569.1875</v>
      </c>
    </row>
    <row x14ac:dyDescent="0.25" r="215" customHeight="1" ht="17.25">
      <c r="A215" s="6">
        <v>45871</v>
      </c>
      <c r="B215" s="21"/>
      <c r="C215" s="22"/>
      <c r="D215" s="22"/>
      <c r="E215" s="22"/>
      <c r="F215" s="22"/>
      <c r="G215" s="22"/>
      <c r="H215" s="8">
        <v>2.166666666666667</v>
      </c>
      <c r="I215" s="17">
        <f>iferror(if(H215&gt;G215, H215-G215, G215-H215), "")</f>
        <v>25569.1875</v>
      </c>
      <c r="J215" s="18">
        <f>iferror(vlookup(A215, Calendar!$A$2:$C$261, 3, 0), "")</f>
      </c>
      <c r="K215" s="19">
        <f>if(C215&gt;D215, "NO CHECK-OUT", "")</f>
      </c>
      <c r="L215" s="20">
        <f>iferror(if(G215="", L214, if(G215="ATTENTION", L214-H215, if(H215&gt;G215, L214-I215, L214+I215))), "")</f>
        <v>25569.1875</v>
      </c>
    </row>
    <row x14ac:dyDescent="0.25" r="216" customHeight="1" ht="17.25">
      <c r="A216" s="6">
        <v>45872</v>
      </c>
      <c r="B216" s="21"/>
      <c r="C216" s="22"/>
      <c r="D216" s="22"/>
      <c r="E216" s="22"/>
      <c r="F216" s="22"/>
      <c r="G216" s="22"/>
      <c r="H216" s="8">
        <v>2.166666666666667</v>
      </c>
      <c r="I216" s="17">
        <f>iferror(if(H216&gt;G216, H216-G216, G216-H216), "")</f>
        <v>25569.1875</v>
      </c>
      <c r="J216" s="18">
        <f>iferror(vlookup(A216, Calendar!$A$2:$C$261, 3, 0), "")</f>
      </c>
      <c r="K216" s="19">
        <f>if(C216&gt;D216, "NO CHECK-OUT", "")</f>
      </c>
      <c r="L216" s="20">
        <f>iferror(if(G216="", L215, if(G216="ATTENTION", L215-H216, if(H216&gt;G216, L215-I216, L215+I216))), "")</f>
        <v>25569.1875</v>
      </c>
    </row>
    <row x14ac:dyDescent="0.25" r="217" customHeight="1" ht="17.25">
      <c r="A217" s="6">
        <v>45873</v>
      </c>
      <c r="B217" s="21"/>
      <c r="C217" s="22"/>
      <c r="D217" s="22"/>
      <c r="E217" s="22"/>
      <c r="F217" s="22"/>
      <c r="G217" s="22"/>
      <c r="H217" s="8">
        <v>2.166666666666667</v>
      </c>
      <c r="I217" s="17">
        <f>iferror(if(H217&gt;G217, H217-G217, G217-H217), "")</f>
        <v>25569.1875</v>
      </c>
      <c r="J217" s="18">
        <f>iferror(vlookup(A217, Calendar!$A$2:$C$261, 3, 0), "")</f>
      </c>
      <c r="K217" s="19">
        <f>if(C217&gt;D217, "NO CHECK-OUT", "")</f>
      </c>
      <c r="L217" s="20">
        <f>iferror(if(G217="", L216, if(G217="ATTENTION", L216-H217, if(H217&gt;G217, L216-I217, L216+I217))), "")</f>
        <v>25569.1875</v>
      </c>
    </row>
    <row x14ac:dyDescent="0.25" r="218" customHeight="1" ht="17.25">
      <c r="A218" s="6">
        <v>45874</v>
      </c>
      <c r="B218" s="21"/>
      <c r="C218" s="22"/>
      <c r="D218" s="22"/>
      <c r="E218" s="22"/>
      <c r="F218" s="22"/>
      <c r="G218" s="22"/>
      <c r="H218" s="8">
        <v>2.166666666666667</v>
      </c>
      <c r="I218" s="17">
        <f>iferror(if(H218&gt;G218, H218-G218, G218-H218), "")</f>
        <v>25569.1875</v>
      </c>
      <c r="J218" s="18">
        <f>iferror(vlookup(A218, Calendar!$A$2:$C$261, 3, 0), "")</f>
      </c>
      <c r="K218" s="19">
        <f>if(C218&gt;D218, "NO CHECK-OUT", "")</f>
      </c>
      <c r="L218" s="20">
        <f>iferror(if(G218="", L217, if(G218="ATTENTION", L217-H218, if(H218&gt;G218, L217-I218, L217+I218))), "")</f>
        <v>25569.1875</v>
      </c>
    </row>
    <row x14ac:dyDescent="0.25" r="219" customHeight="1" ht="17.25">
      <c r="A219" s="6">
        <v>45875</v>
      </c>
      <c r="B219" s="21"/>
      <c r="C219" s="22"/>
      <c r="D219" s="22"/>
      <c r="E219" s="22"/>
      <c r="F219" s="22"/>
      <c r="G219" s="22"/>
      <c r="H219" s="8">
        <v>2.166666666666667</v>
      </c>
      <c r="I219" s="17">
        <f>iferror(if(H219&gt;G219, H219-G219, G219-H219), "")</f>
        <v>25569.1875</v>
      </c>
      <c r="J219" s="18">
        <f>iferror(vlookup(A219, Calendar!$A$2:$C$261, 3, 0), "")</f>
      </c>
      <c r="K219" s="19">
        <f>if(C219&gt;D219, "NO CHECK-OUT", "")</f>
      </c>
      <c r="L219" s="20">
        <f>iferror(if(G219="", L218, if(G219="ATTENTION", L218-H219, if(H219&gt;G219, L218-I219, L218+I219))), "")</f>
        <v>25569.1875</v>
      </c>
    </row>
    <row x14ac:dyDescent="0.25" r="220" customHeight="1" ht="17.25">
      <c r="A220" s="6">
        <v>45876</v>
      </c>
      <c r="B220" s="21"/>
      <c r="C220" s="22"/>
      <c r="D220" s="22"/>
      <c r="E220" s="22"/>
      <c r="F220" s="22"/>
      <c r="G220" s="22"/>
      <c r="H220" s="8">
        <v>2.166666666666667</v>
      </c>
      <c r="I220" s="17">
        <f>iferror(if(H220&gt;G220, H220-G220, G220-H220), "")</f>
        <v>25569.1875</v>
      </c>
      <c r="J220" s="18">
        <f>iferror(vlookup(A220, Calendar!$A$2:$C$261, 3, 0), "")</f>
      </c>
      <c r="K220" s="19">
        <f>if(C220&gt;D220, "NO CHECK-OUT", "")</f>
      </c>
      <c r="L220" s="20">
        <f>iferror(if(G220="", L219, if(G220="ATTENTION", L219-H220, if(H220&gt;G220, L219-I220, L219+I220))), "")</f>
        <v>25569.1875</v>
      </c>
    </row>
    <row x14ac:dyDescent="0.25" r="221" customHeight="1" ht="17.25">
      <c r="A221" s="6">
        <v>45877</v>
      </c>
      <c r="B221" s="21"/>
      <c r="C221" s="22"/>
      <c r="D221" s="22"/>
      <c r="E221" s="22"/>
      <c r="F221" s="22"/>
      <c r="G221" s="22"/>
      <c r="H221" s="8">
        <v>2.166666666666667</v>
      </c>
      <c r="I221" s="17">
        <f>iferror(if(H221&gt;G221, H221-G221, G221-H221), "")</f>
        <v>25569.1875</v>
      </c>
      <c r="J221" s="18">
        <f>iferror(vlookup(A221, Calendar!$A$2:$C$261, 3, 0), "")</f>
      </c>
      <c r="K221" s="19">
        <f>if(C221&gt;D221, "NO CHECK-OUT", "")</f>
      </c>
      <c r="L221" s="20">
        <f>iferror(if(G221="", L220, if(G221="ATTENTION", L220-H221, if(H221&gt;G221, L220-I221, L220+I221))), "")</f>
        <v>25569.1875</v>
      </c>
    </row>
    <row x14ac:dyDescent="0.25" r="222" customHeight="1" ht="17.25">
      <c r="A222" s="6">
        <v>45878</v>
      </c>
      <c r="B222" s="21"/>
      <c r="C222" s="22"/>
      <c r="D222" s="22"/>
      <c r="E222" s="22"/>
      <c r="F222" s="22"/>
      <c r="G222" s="22"/>
      <c r="H222" s="8">
        <v>2.166666666666667</v>
      </c>
      <c r="I222" s="17">
        <f>iferror(if(H222&gt;G222, H222-G222, G222-H222), "")</f>
        <v>25569.1875</v>
      </c>
      <c r="J222" s="18">
        <f>iferror(vlookup(A222, Calendar!$A$2:$C$261, 3, 0), "")</f>
      </c>
      <c r="K222" s="19">
        <f>if(C222&gt;D222, "NO CHECK-OUT", "")</f>
      </c>
      <c r="L222" s="20">
        <f>iferror(if(G222="", L221, if(G222="ATTENTION", L221-H222, if(H222&gt;G222, L221-I222, L221+I222))), "")</f>
        <v>25569.1875</v>
      </c>
    </row>
    <row x14ac:dyDescent="0.25" r="223" customHeight="1" ht="17.25">
      <c r="A223" s="6">
        <v>45879</v>
      </c>
      <c r="B223" s="21"/>
      <c r="C223" s="22"/>
      <c r="D223" s="22"/>
      <c r="E223" s="22"/>
      <c r="F223" s="22"/>
      <c r="G223" s="22"/>
      <c r="H223" s="8">
        <v>2.166666666666667</v>
      </c>
      <c r="I223" s="17">
        <f>iferror(if(H223&gt;G223, H223-G223, G223-H223), "")</f>
        <v>25569.1875</v>
      </c>
      <c r="J223" s="18">
        <f>iferror(vlookup(A223, Calendar!$A$2:$C$261, 3, 0), "")</f>
      </c>
      <c r="K223" s="19">
        <f>if(C223&gt;D223, "NO CHECK-OUT", "")</f>
      </c>
      <c r="L223" s="20">
        <f>iferror(if(G223="", L222, if(G223="ATTENTION", L222-H223, if(H223&gt;G223, L222-I223, L222+I223))), "")</f>
        <v>25569.1875</v>
      </c>
    </row>
    <row x14ac:dyDescent="0.25" r="224" customHeight="1" ht="17.25">
      <c r="A224" s="6">
        <v>45880</v>
      </c>
      <c r="B224" s="21"/>
      <c r="C224" s="22"/>
      <c r="D224" s="22"/>
      <c r="E224" s="22"/>
      <c r="F224" s="22"/>
      <c r="G224" s="22"/>
      <c r="H224" s="8">
        <v>2.166666666666667</v>
      </c>
      <c r="I224" s="17">
        <f>iferror(if(H224&gt;G224, H224-G224, G224-H224), "")</f>
        <v>25569.1875</v>
      </c>
      <c r="J224" s="18">
        <f>iferror(vlookup(A224, Calendar!$A$2:$C$261, 3, 0), "")</f>
      </c>
      <c r="K224" s="19">
        <f>if(C224&gt;D224, "NO CHECK-OUT", "")</f>
      </c>
      <c r="L224" s="20">
        <f>iferror(if(G224="", L223, if(G224="ATTENTION", L223-H224, if(H224&gt;G224, L223-I224, L223+I224))), "")</f>
        <v>25569.1875</v>
      </c>
    </row>
    <row x14ac:dyDescent="0.25" r="225" customHeight="1" ht="17.25">
      <c r="A225" s="6">
        <v>45881</v>
      </c>
      <c r="B225" s="21"/>
      <c r="C225" s="22"/>
      <c r="D225" s="22"/>
      <c r="E225" s="22"/>
      <c r="F225" s="22"/>
      <c r="G225" s="22"/>
      <c r="H225" s="8">
        <v>2.166666666666667</v>
      </c>
      <c r="I225" s="17">
        <f>iferror(if(H225&gt;G225, H225-G225, G225-H225), "")</f>
        <v>25569.1875</v>
      </c>
      <c r="J225" s="18">
        <f>iferror(vlookup(A225, Calendar!$A$2:$C$261, 3, 0), "")</f>
      </c>
      <c r="K225" s="19">
        <f>if(C225&gt;D225, "NO CHECK-OUT", "")</f>
      </c>
      <c r="L225" s="20">
        <f>iferror(if(G225="", L224, if(G225="ATTENTION", L224-H225, if(H225&gt;G225, L224-I225, L224+I225))), "")</f>
        <v>25569.1875</v>
      </c>
    </row>
    <row x14ac:dyDescent="0.25" r="226" customHeight="1" ht="17.25">
      <c r="A226" s="6">
        <v>45882</v>
      </c>
      <c r="B226" s="21"/>
      <c r="C226" s="22"/>
      <c r="D226" s="22"/>
      <c r="E226" s="22"/>
      <c r="F226" s="22"/>
      <c r="G226" s="22"/>
      <c r="H226" s="8">
        <v>2.166666666666667</v>
      </c>
      <c r="I226" s="17">
        <f>iferror(if(H226&gt;G226, H226-G226, G226-H226), "")</f>
        <v>25569.1875</v>
      </c>
      <c r="J226" s="18">
        <f>iferror(vlookup(A226, Calendar!$A$2:$C$261, 3, 0), "")</f>
      </c>
      <c r="K226" s="19">
        <f>if(C226&gt;D226, "NO CHECK-OUT", "")</f>
      </c>
      <c r="L226" s="20">
        <f>iferror(if(G226="", L225, if(G226="ATTENTION", L225-H226, if(H226&gt;G226, L225-I226, L225+I226))), "")</f>
        <v>25569.1875</v>
      </c>
    </row>
    <row x14ac:dyDescent="0.25" r="227" customHeight="1" ht="17.25">
      <c r="A227" s="6">
        <v>45883</v>
      </c>
      <c r="B227" s="21"/>
      <c r="C227" s="22"/>
      <c r="D227" s="22"/>
      <c r="E227" s="22"/>
      <c r="F227" s="22"/>
      <c r="G227" s="22"/>
      <c r="H227" s="8">
        <v>2.166666666666667</v>
      </c>
      <c r="I227" s="17">
        <f>iferror(if(H227&gt;G227, H227-G227, G227-H227), "")</f>
        <v>25569.1875</v>
      </c>
      <c r="J227" s="18">
        <f>iferror(vlookup(A227, Calendar!$A$2:$C$261, 3, 0), "")</f>
      </c>
      <c r="K227" s="19">
        <f>if(C227&gt;D227, "NO CHECK-OUT", "")</f>
      </c>
      <c r="L227" s="20">
        <f>iferror(if(G227="", L226, if(G227="ATTENTION", L226-H227, if(H227&gt;G227, L226-I227, L226+I227))), "")</f>
        <v>25569.1875</v>
      </c>
    </row>
    <row x14ac:dyDescent="0.25" r="228" customHeight="1" ht="17.25">
      <c r="A228" s="6">
        <v>45884</v>
      </c>
      <c r="B228" s="21"/>
      <c r="C228" s="22"/>
      <c r="D228" s="22"/>
      <c r="E228" s="22"/>
      <c r="F228" s="22"/>
      <c r="G228" s="22"/>
      <c r="H228" s="8">
        <v>2.166666666666667</v>
      </c>
      <c r="I228" s="17">
        <f>iferror(if(H228&gt;G228, H228-G228, G228-H228), "")</f>
        <v>25569.1875</v>
      </c>
      <c r="J228" s="18">
        <f>iferror(vlookup(A228, Calendar!$A$2:$C$261, 3, 0), "")</f>
      </c>
      <c r="K228" s="19">
        <f>if(C228&gt;D228, "NO CHECK-OUT", "")</f>
      </c>
      <c r="L228" s="20">
        <f>iferror(if(G228="", L227, if(G228="ATTENTION", L227-H228, if(H228&gt;G228, L227-I228, L227+I228))), "")</f>
        <v>25569.1875</v>
      </c>
    </row>
    <row x14ac:dyDescent="0.25" r="229" customHeight="1" ht="17.25">
      <c r="A229" s="6">
        <v>45885</v>
      </c>
      <c r="B229" s="21"/>
      <c r="C229" s="22"/>
      <c r="D229" s="22"/>
      <c r="E229" s="22"/>
      <c r="F229" s="22"/>
      <c r="G229" s="22"/>
      <c r="H229" s="8">
        <v>2.166666666666667</v>
      </c>
      <c r="I229" s="17">
        <f>iferror(if(H229&gt;G229, H229-G229, G229-H229), "")</f>
        <v>25569.1875</v>
      </c>
      <c r="J229" s="18">
        <f>iferror(vlookup(A229, Calendar!$A$2:$C$261, 3, 0), "")</f>
      </c>
      <c r="K229" s="19">
        <f>if(C229&gt;D229, "NO CHECK-OUT", "")</f>
      </c>
      <c r="L229" s="20">
        <f>iferror(if(G229="", L228, if(G229="ATTENTION", L228-H229, if(H229&gt;G229, L228-I229, L228+I229))), "")</f>
        <v>25569.1875</v>
      </c>
    </row>
    <row x14ac:dyDescent="0.25" r="230" customHeight="1" ht="17.25">
      <c r="A230" s="6">
        <v>45886</v>
      </c>
      <c r="B230" s="21"/>
      <c r="C230" s="22"/>
      <c r="D230" s="22"/>
      <c r="E230" s="22"/>
      <c r="F230" s="22"/>
      <c r="G230" s="22"/>
      <c r="H230" s="8">
        <v>2.166666666666667</v>
      </c>
      <c r="I230" s="17">
        <f>iferror(if(H230&gt;G230, H230-G230, G230-H230), "")</f>
        <v>25569.1875</v>
      </c>
      <c r="J230" s="18">
        <f>iferror(vlookup(A230, Calendar!$A$2:$C$261, 3, 0), "")</f>
      </c>
      <c r="K230" s="19">
        <f>if(C230&gt;D230, "NO CHECK-OUT", "")</f>
      </c>
      <c r="L230" s="20">
        <f>iferror(if(G230="", L229, if(G230="ATTENTION", L229-H230, if(H230&gt;G230, L229-I230, L229+I230))), "")</f>
        <v>25569.1875</v>
      </c>
    </row>
    <row x14ac:dyDescent="0.25" r="231" customHeight="1" ht="17.25">
      <c r="A231" s="6">
        <v>45887</v>
      </c>
      <c r="B231" s="21"/>
      <c r="C231" s="22"/>
      <c r="D231" s="22"/>
      <c r="E231" s="22"/>
      <c r="F231" s="22"/>
      <c r="G231" s="22"/>
      <c r="H231" s="8">
        <v>2.166666666666667</v>
      </c>
      <c r="I231" s="17">
        <f>iferror(if(H231&gt;G231, H231-G231, G231-H231), "")</f>
        <v>25569.1875</v>
      </c>
      <c r="J231" s="18">
        <f>iferror(vlookup(A231, Calendar!$A$2:$C$261, 3, 0), "")</f>
      </c>
      <c r="K231" s="19">
        <f>if(C231&gt;D231, "NO CHECK-OUT", "")</f>
      </c>
      <c r="L231" s="20">
        <f>iferror(if(G231="", L230, if(G231="ATTENTION", L230-H231, if(H231&gt;G231, L230-I231, L230+I231))), "")</f>
        <v>25569.1875</v>
      </c>
    </row>
    <row x14ac:dyDescent="0.25" r="232" customHeight="1" ht="17.25">
      <c r="A232" s="6">
        <v>45888</v>
      </c>
      <c r="B232" s="21"/>
      <c r="C232" s="22"/>
      <c r="D232" s="22"/>
      <c r="E232" s="22"/>
      <c r="F232" s="22"/>
      <c r="G232" s="22"/>
      <c r="H232" s="8">
        <v>2.166666666666667</v>
      </c>
      <c r="I232" s="17">
        <f>iferror(if(H232&gt;G232, H232-G232, G232-H232), "")</f>
        <v>25569.1875</v>
      </c>
      <c r="J232" s="18">
        <f>iferror(vlookup(A232, Calendar!$A$2:$C$261, 3, 0), "")</f>
      </c>
      <c r="K232" s="19">
        <f>if(C232&gt;D232, "NO CHECK-OUT", "")</f>
      </c>
      <c r="L232" s="20">
        <f>iferror(if(G232="", L231, if(G232="ATTENTION", L231-H232, if(H232&gt;G232, L231-I232, L231+I232))), "")</f>
        <v>25569.1875</v>
      </c>
    </row>
    <row x14ac:dyDescent="0.25" r="233" customHeight="1" ht="17.25">
      <c r="A233" s="6">
        <v>45889</v>
      </c>
      <c r="B233" s="21"/>
      <c r="C233" s="22"/>
      <c r="D233" s="22"/>
      <c r="E233" s="22"/>
      <c r="F233" s="22"/>
      <c r="G233" s="22"/>
      <c r="H233" s="8">
        <v>2.166666666666667</v>
      </c>
      <c r="I233" s="17">
        <f>iferror(if(H233&gt;G233, H233-G233, G233-H233), "")</f>
        <v>25569.1875</v>
      </c>
      <c r="J233" s="18">
        <f>iferror(vlookup(A233, Calendar!$A$2:$C$261, 3, 0), "")</f>
      </c>
      <c r="K233" s="19">
        <f>if(C233&gt;D233, "NO CHECK-OUT", "")</f>
      </c>
      <c r="L233" s="20">
        <f>iferror(if(G233="", L232, if(G233="ATTENTION", L232-H233, if(H233&gt;G233, L232-I233, L232+I233))), "")</f>
        <v>25569.1875</v>
      </c>
    </row>
    <row x14ac:dyDescent="0.25" r="234" customHeight="1" ht="17.25">
      <c r="A234" s="6">
        <v>45890</v>
      </c>
      <c r="B234" s="21"/>
      <c r="C234" s="22"/>
      <c r="D234" s="22"/>
      <c r="E234" s="22"/>
      <c r="F234" s="22"/>
      <c r="G234" s="22"/>
      <c r="H234" s="8">
        <v>2.166666666666667</v>
      </c>
      <c r="I234" s="17">
        <f>iferror(if(H234&gt;G234, H234-G234, G234-H234), "")</f>
        <v>25569.1875</v>
      </c>
      <c r="J234" s="18">
        <f>iferror(vlookup(A234, Calendar!$A$2:$C$261, 3, 0), "")</f>
      </c>
      <c r="K234" s="19">
        <f>if(C234&gt;D234, "NO CHECK-OUT", "")</f>
      </c>
      <c r="L234" s="20">
        <f>iferror(if(G234="", L233, if(G234="ATTENTION", L233-H234, if(H234&gt;G234, L233-I234, L233+I234))), "")</f>
        <v>25569.1875</v>
      </c>
    </row>
    <row x14ac:dyDescent="0.25" r="235" customHeight="1" ht="17.25">
      <c r="A235" s="6">
        <v>45891</v>
      </c>
      <c r="B235" s="21"/>
      <c r="C235" s="22"/>
      <c r="D235" s="22"/>
      <c r="E235" s="22"/>
      <c r="F235" s="22"/>
      <c r="G235" s="22"/>
      <c r="H235" s="8">
        <v>2.166666666666667</v>
      </c>
      <c r="I235" s="17">
        <f>iferror(if(H235&gt;G235, H235-G235, G235-H235), "")</f>
        <v>25569.1875</v>
      </c>
      <c r="J235" s="18">
        <f>iferror(vlookup(A235, Calendar!$A$2:$C$261, 3, 0), "")</f>
      </c>
      <c r="K235" s="19">
        <f>if(C235&gt;D235, "NO CHECK-OUT", "")</f>
      </c>
      <c r="L235" s="20">
        <f>iferror(if(G235="", L234, if(G235="ATTENTION", L234-H235, if(H235&gt;G235, L234-I235, L234+I235))), "")</f>
        <v>25569.1875</v>
      </c>
    </row>
    <row x14ac:dyDescent="0.25" r="236" customHeight="1" ht="17.25">
      <c r="A236" s="6">
        <v>45892</v>
      </c>
      <c r="B236" s="21"/>
      <c r="C236" s="22"/>
      <c r="D236" s="22"/>
      <c r="E236" s="22"/>
      <c r="F236" s="22"/>
      <c r="G236" s="22"/>
      <c r="H236" s="8">
        <v>2.166666666666667</v>
      </c>
      <c r="I236" s="17">
        <f>iferror(if(H236&gt;G236, H236-G236, G236-H236), "")</f>
        <v>25569.1875</v>
      </c>
      <c r="J236" s="18">
        <f>iferror(vlookup(A236, Calendar!$A$2:$C$261, 3, 0), "")</f>
      </c>
      <c r="K236" s="19">
        <f>if(C236&gt;D236, "NO CHECK-OUT", "")</f>
      </c>
      <c r="L236" s="20">
        <f>iferror(if(G236="", L235, if(G236="ATTENTION", L235-H236, if(H236&gt;G236, L235-I236, L235+I236))), "")</f>
        <v>25569.1875</v>
      </c>
    </row>
    <row x14ac:dyDescent="0.25" r="237" customHeight="1" ht="17.25">
      <c r="A237" s="6">
        <v>45893</v>
      </c>
      <c r="B237" s="21"/>
      <c r="C237" s="22"/>
      <c r="D237" s="22"/>
      <c r="E237" s="22"/>
      <c r="F237" s="22"/>
      <c r="G237" s="22"/>
      <c r="H237" s="8">
        <v>2.166666666666667</v>
      </c>
      <c r="I237" s="17">
        <f>iferror(if(H237&gt;G237, H237-G237, G237-H237), "")</f>
        <v>25569.1875</v>
      </c>
      <c r="J237" s="18">
        <f>iferror(vlookup(A237, Calendar!$A$2:$C$261, 3, 0), "")</f>
      </c>
      <c r="K237" s="19">
        <f>if(C237&gt;D237, "NO CHECK-OUT", "")</f>
      </c>
      <c r="L237" s="20">
        <f>iferror(if(G237="", L236, if(G237="ATTENTION", L236-H237, if(H237&gt;G237, L236-I237, L236+I237))), "")</f>
        <v>25569.1875</v>
      </c>
    </row>
    <row x14ac:dyDescent="0.25" r="238" customHeight="1" ht="17.25">
      <c r="A238" s="6">
        <v>45894</v>
      </c>
      <c r="B238" s="21"/>
      <c r="C238" s="22"/>
      <c r="D238" s="22"/>
      <c r="E238" s="22"/>
      <c r="F238" s="22"/>
      <c r="G238" s="22"/>
      <c r="H238" s="8">
        <v>2.166666666666667</v>
      </c>
      <c r="I238" s="17">
        <f>iferror(if(H238&gt;G238, H238-G238, G238-H238), "")</f>
        <v>25569.1875</v>
      </c>
      <c r="J238" s="18">
        <f>iferror(vlookup(A238, Calendar!$A$2:$C$261, 3, 0), "")</f>
      </c>
      <c r="K238" s="19">
        <f>if(C238&gt;D238, "NO CHECK-OUT", "")</f>
      </c>
      <c r="L238" s="20">
        <f>iferror(if(G238="", L237, if(G238="ATTENTION", L237-H238, if(H238&gt;G238, L237-I238, L237+I238))), "")</f>
        <v>25569.1875</v>
      </c>
    </row>
    <row x14ac:dyDescent="0.25" r="239" customHeight="1" ht="17.25">
      <c r="A239" s="6">
        <v>45895</v>
      </c>
      <c r="B239" s="21"/>
      <c r="C239" s="22"/>
      <c r="D239" s="22"/>
      <c r="E239" s="22"/>
      <c r="F239" s="22"/>
      <c r="G239" s="22"/>
      <c r="H239" s="8">
        <v>2.166666666666667</v>
      </c>
      <c r="I239" s="17">
        <f>iferror(if(H239&gt;G239, H239-G239, G239-H239), "")</f>
        <v>25569.1875</v>
      </c>
      <c r="J239" s="18">
        <f>iferror(vlookup(A239, Calendar!$A$2:$C$261, 3, 0), "")</f>
      </c>
      <c r="K239" s="19">
        <f>if(C239&gt;D239, "NO CHECK-OUT", "")</f>
      </c>
      <c r="L239" s="20">
        <f>iferror(if(G239="", L238, if(G239="ATTENTION", L238-H239, if(H239&gt;G239, L238-I239, L238+I239))), "")</f>
        <v>25569.1875</v>
      </c>
    </row>
    <row x14ac:dyDescent="0.25" r="240" customHeight="1" ht="17.25">
      <c r="A240" s="6">
        <v>45896</v>
      </c>
      <c r="B240" s="21"/>
      <c r="C240" s="22"/>
      <c r="D240" s="22"/>
      <c r="E240" s="22"/>
      <c r="F240" s="22"/>
      <c r="G240" s="22"/>
      <c r="H240" s="8">
        <v>2.166666666666667</v>
      </c>
      <c r="I240" s="17">
        <f>iferror(if(H240&gt;G240, H240-G240, G240-H240), "")</f>
        <v>25569.1875</v>
      </c>
      <c r="J240" s="18">
        <f>iferror(vlookup(A240, Calendar!$A$2:$C$261, 3, 0), "")</f>
      </c>
      <c r="K240" s="19">
        <f>if(C240&gt;D240, "NO CHECK-OUT", "")</f>
      </c>
      <c r="L240" s="20">
        <f>iferror(if(G240="", L239, if(G240="ATTENTION", L239-H240, if(H240&gt;G240, L239-I240, L239+I240))), "")</f>
        <v>25569.1875</v>
      </c>
    </row>
    <row x14ac:dyDescent="0.25" r="241" customHeight="1" ht="17.25">
      <c r="A241" s="6">
        <v>45897</v>
      </c>
      <c r="B241" s="21"/>
      <c r="C241" s="22"/>
      <c r="D241" s="22"/>
      <c r="E241" s="22"/>
      <c r="F241" s="22"/>
      <c r="G241" s="22"/>
      <c r="H241" s="8">
        <v>2.166666666666667</v>
      </c>
      <c r="I241" s="17">
        <f>iferror(if(H241&gt;G241, H241-G241, G241-H241), "")</f>
        <v>25569.1875</v>
      </c>
      <c r="J241" s="18">
        <f>iferror(vlookup(A241, Calendar!$A$2:$C$261, 3, 0), "")</f>
      </c>
      <c r="K241" s="19">
        <f>if(C241&gt;D241, "NO CHECK-OUT", "")</f>
      </c>
      <c r="L241" s="20">
        <f>iferror(if(G241="", L240, if(G241="ATTENTION", L240-H241, if(H241&gt;G241, L240-I241, L240+I241))), "")</f>
        <v>25569.1875</v>
      </c>
    </row>
    <row x14ac:dyDescent="0.25" r="242" customHeight="1" ht="17.25">
      <c r="A242" s="6">
        <v>45898</v>
      </c>
      <c r="B242" s="21"/>
      <c r="C242" s="22"/>
      <c r="D242" s="22"/>
      <c r="E242" s="22"/>
      <c r="F242" s="22"/>
      <c r="G242" s="22"/>
      <c r="H242" s="8">
        <v>2.166666666666667</v>
      </c>
      <c r="I242" s="17">
        <f>iferror(if(H242&gt;G242, H242-G242, G242-H242), "")</f>
        <v>25569.1875</v>
      </c>
      <c r="J242" s="18">
        <f>iferror(vlookup(A242, Calendar!$A$2:$C$261, 3, 0), "")</f>
      </c>
      <c r="K242" s="19">
        <f>if(C242&gt;D242, "NO CHECK-OUT", "")</f>
      </c>
      <c r="L242" s="20">
        <f>iferror(if(G242="", L241, if(G242="ATTENTION", L241-H242, if(H242&gt;G242, L241-I242, L241+I242))), "")</f>
        <v>25569.1875</v>
      </c>
    </row>
    <row x14ac:dyDescent="0.25" r="243" customHeight="1" ht="17.25">
      <c r="A243" s="6">
        <v>45899</v>
      </c>
      <c r="B243" s="21"/>
      <c r="C243" s="22"/>
      <c r="D243" s="22"/>
      <c r="E243" s="22"/>
      <c r="F243" s="22"/>
      <c r="G243" s="22"/>
      <c r="H243" s="8">
        <v>2.166666666666667</v>
      </c>
      <c r="I243" s="17">
        <f>iferror(if(H243&gt;G243, H243-G243, G243-H243), "")</f>
        <v>25569.1875</v>
      </c>
      <c r="J243" s="18">
        <f>iferror(vlookup(A243, Calendar!$A$2:$C$261, 3, 0), "")</f>
      </c>
      <c r="K243" s="19">
        <f>if(C243&gt;D243, "NO CHECK-OUT", "")</f>
      </c>
      <c r="L243" s="20">
        <f>iferror(if(G243="", L242, if(G243="ATTENTION", L242-H243, if(H243&gt;G243, L242-I243, L242+I243))), "")</f>
        <v>25569.1875</v>
      </c>
    </row>
    <row x14ac:dyDescent="0.25" r="244" customHeight="1" ht="17.25">
      <c r="A244" s="6">
        <v>45900</v>
      </c>
      <c r="B244" s="21"/>
      <c r="C244" s="22"/>
      <c r="D244" s="22"/>
      <c r="E244" s="22"/>
      <c r="F244" s="22"/>
      <c r="G244" s="22"/>
      <c r="H244" s="8">
        <v>2.166666666666667</v>
      </c>
      <c r="I244" s="17">
        <f>iferror(if(H244&gt;G244, H244-G244, G244-H244), "")</f>
        <v>25569.1875</v>
      </c>
      <c r="J244" s="18">
        <f>iferror(vlookup(A244, Calendar!$A$2:$C$261, 3, 0), "")</f>
      </c>
      <c r="K244" s="19">
        <f>if(C244&gt;D244, "NO CHECK-OUT", "")</f>
      </c>
      <c r="L244" s="20">
        <f>iferror(if(G244="", L243, if(G244="ATTENTION", L243-H244, if(H244&gt;G244, L243-I244, L243+I244))), "")</f>
        <v>25569.1875</v>
      </c>
    </row>
    <row x14ac:dyDescent="0.25" r="245" customHeight="1" ht="17.25">
      <c r="A245" s="6">
        <v>45901</v>
      </c>
      <c r="B245" s="21"/>
      <c r="C245" s="22"/>
      <c r="D245" s="22"/>
      <c r="E245" s="22"/>
      <c r="F245" s="22"/>
      <c r="G245" s="22"/>
      <c r="H245" s="8">
        <v>2.166666666666667</v>
      </c>
      <c r="I245" s="17">
        <f>iferror(if(H245&gt;G245, H245-G245, G245-H245), "")</f>
        <v>25569.1875</v>
      </c>
      <c r="J245" s="18">
        <f>iferror(vlookup(A245, Calendar!$A$2:$C$261, 3, 0), "")</f>
      </c>
      <c r="K245" s="19">
        <f>if(C245&gt;D245, "NO CHECK-OUT", "")</f>
      </c>
      <c r="L245" s="20">
        <f>iferror(if(G245="", L244, if(G245="ATTENTION", L244-H245, if(H245&gt;G245, L244-I245, L244+I245))), "")</f>
        <v>25569.1875</v>
      </c>
    </row>
    <row x14ac:dyDescent="0.25" r="246" customHeight="1" ht="17.25">
      <c r="A246" s="6">
        <v>45902</v>
      </c>
      <c r="B246" s="21"/>
      <c r="C246" s="22"/>
      <c r="D246" s="22"/>
      <c r="E246" s="22"/>
      <c r="F246" s="22"/>
      <c r="G246" s="22"/>
      <c r="H246" s="8">
        <v>2.166666666666667</v>
      </c>
      <c r="I246" s="17">
        <f>iferror(if(H246&gt;G246, H246-G246, G246-H246), "")</f>
        <v>25569.1875</v>
      </c>
      <c r="J246" s="18">
        <f>iferror(vlookup(A246, Calendar!$A$2:$C$261, 3, 0), "")</f>
      </c>
      <c r="K246" s="19">
        <f>if(C246&gt;D246, "NO CHECK-OUT", "")</f>
      </c>
      <c r="L246" s="20">
        <f>iferror(if(G246="", L245, if(G246="ATTENTION", L245-H246, if(H246&gt;G246, L245-I246, L245+I246))), "")</f>
        <v>25569.1875</v>
      </c>
    </row>
    <row x14ac:dyDescent="0.25" r="247" customHeight="1" ht="17.25">
      <c r="A247" s="6">
        <v>45903</v>
      </c>
      <c r="B247" s="21"/>
      <c r="C247" s="22"/>
      <c r="D247" s="22"/>
      <c r="E247" s="22"/>
      <c r="F247" s="22"/>
      <c r="G247" s="22"/>
      <c r="H247" s="8">
        <v>2.166666666666667</v>
      </c>
      <c r="I247" s="17">
        <f>iferror(if(H247&gt;G247, H247-G247, G247-H247), "")</f>
        <v>25569.1875</v>
      </c>
      <c r="J247" s="18">
        <f>iferror(vlookup(A247, Calendar!$A$2:$C$261, 3, 0), "")</f>
      </c>
      <c r="K247" s="19">
        <f>if(C247&gt;D247, "NO CHECK-OUT", "")</f>
      </c>
      <c r="L247" s="20">
        <f>iferror(if(G247="", L246, if(G247="ATTENTION", L246-H247, if(H247&gt;G247, L246-I247, L246+I247))), "")</f>
        <v>25569.1875</v>
      </c>
    </row>
    <row x14ac:dyDescent="0.25" r="248" customHeight="1" ht="17.25">
      <c r="A248" s="6">
        <v>45904</v>
      </c>
      <c r="B248" s="21"/>
      <c r="C248" s="22"/>
      <c r="D248" s="22"/>
      <c r="E248" s="22"/>
      <c r="F248" s="22"/>
      <c r="G248" s="22"/>
      <c r="H248" s="8">
        <v>2.166666666666667</v>
      </c>
      <c r="I248" s="17">
        <f>iferror(if(H248&gt;G248, H248-G248, G248-H248), "")</f>
        <v>25569.1875</v>
      </c>
      <c r="J248" s="18">
        <f>iferror(vlookup(A248, Calendar!$A$2:$C$261, 3, 0), "")</f>
      </c>
      <c r="K248" s="19">
        <f>if(C248&gt;D248, "NO CHECK-OUT", "")</f>
      </c>
      <c r="L248" s="20">
        <f>iferror(if(G248="", L247, if(G248="ATTENTION", L247-H248, if(H248&gt;G248, L247-I248, L247+I248))), "")</f>
        <v>25569.1875</v>
      </c>
    </row>
    <row x14ac:dyDescent="0.25" r="249" customHeight="1" ht="17.25">
      <c r="A249" s="6">
        <v>45905</v>
      </c>
      <c r="B249" s="21"/>
      <c r="C249" s="22"/>
      <c r="D249" s="22"/>
      <c r="E249" s="22"/>
      <c r="F249" s="22"/>
      <c r="G249" s="22"/>
      <c r="H249" s="8">
        <v>2.166666666666667</v>
      </c>
      <c r="I249" s="17">
        <f>iferror(if(H249&gt;G249, H249-G249, G249-H249), "")</f>
        <v>25569.1875</v>
      </c>
      <c r="J249" s="18">
        <f>iferror(vlookup(A249, Calendar!$A$2:$C$261, 3, 0), "")</f>
      </c>
      <c r="K249" s="19">
        <f>if(C249&gt;D249, "NO CHECK-OUT", "")</f>
      </c>
      <c r="L249" s="20">
        <f>iferror(if(G249="", L248, if(G249="ATTENTION", L248-H249, if(H249&gt;G249, L248-I249, L248+I249))), "")</f>
        <v>25569.1875</v>
      </c>
    </row>
    <row x14ac:dyDescent="0.25" r="250" customHeight="1" ht="17.25">
      <c r="A250" s="6">
        <v>45906</v>
      </c>
      <c r="B250" s="21"/>
      <c r="C250" s="22"/>
      <c r="D250" s="22"/>
      <c r="E250" s="22"/>
      <c r="F250" s="22"/>
      <c r="G250" s="22"/>
      <c r="H250" s="8">
        <v>2.166666666666667</v>
      </c>
      <c r="I250" s="17">
        <f>iferror(if(H250&gt;G250, H250-G250, G250-H250), "")</f>
        <v>25569.1875</v>
      </c>
      <c r="J250" s="18">
        <f>iferror(vlookup(A250, Calendar!$A$2:$C$261, 3, 0), "")</f>
      </c>
      <c r="K250" s="19">
        <f>if(C250&gt;D250, "NO CHECK-OUT", "")</f>
      </c>
      <c r="L250" s="20">
        <f>iferror(if(G250="", L249, if(G250="ATTENTION", L249-H250, if(H250&gt;G250, L249-I250, L249+I250))), "")</f>
        <v>25569.1875</v>
      </c>
    </row>
    <row x14ac:dyDescent="0.25" r="251" customHeight="1" ht="17.25">
      <c r="A251" s="6">
        <v>45907</v>
      </c>
      <c r="B251" s="21"/>
      <c r="C251" s="22"/>
      <c r="D251" s="22"/>
      <c r="E251" s="22"/>
      <c r="F251" s="22"/>
      <c r="G251" s="22"/>
      <c r="H251" s="8">
        <v>2.166666666666667</v>
      </c>
      <c r="I251" s="17">
        <f>iferror(if(H251&gt;G251, H251-G251, G251-H251), "")</f>
        <v>25569.1875</v>
      </c>
      <c r="J251" s="18">
        <f>iferror(vlookup(A251, Calendar!$A$2:$C$261, 3, 0), "")</f>
      </c>
      <c r="K251" s="19">
        <f>if(C251&gt;D251, "NO CHECK-OUT", "")</f>
      </c>
      <c r="L251" s="20">
        <f>iferror(if(G251="", L250, if(G251="ATTENTION", L250-H251, if(H251&gt;G251, L250-I251, L250+I251))), "")</f>
        <v>25569.1875</v>
      </c>
    </row>
    <row x14ac:dyDescent="0.25" r="252" customHeight="1" ht="17.25">
      <c r="A252" s="6">
        <v>45908</v>
      </c>
      <c r="B252" s="21"/>
      <c r="C252" s="22"/>
      <c r="D252" s="22"/>
      <c r="E252" s="22"/>
      <c r="F252" s="22"/>
      <c r="G252" s="22"/>
      <c r="H252" s="8">
        <v>2.166666666666667</v>
      </c>
      <c r="I252" s="17">
        <f>iferror(if(H252&gt;G252, H252-G252, G252-H252), "")</f>
        <v>25569.1875</v>
      </c>
      <c r="J252" s="18">
        <f>iferror(vlookup(A252, Calendar!$A$2:$C$261, 3, 0), "")</f>
      </c>
      <c r="K252" s="19">
        <f>if(C252&gt;D252, "NO CHECK-OUT", "")</f>
      </c>
      <c r="L252" s="20">
        <f>iferror(if(G252="", L251, if(G252="ATTENTION", L251-H252, if(H252&gt;G252, L251-I252, L251+I252))), "")</f>
        <v>25569.1875</v>
      </c>
    </row>
    <row x14ac:dyDescent="0.25" r="253" customHeight="1" ht="17.25">
      <c r="A253" s="6">
        <v>45909</v>
      </c>
      <c r="B253" s="21"/>
      <c r="C253" s="22"/>
      <c r="D253" s="22"/>
      <c r="E253" s="22"/>
      <c r="F253" s="22"/>
      <c r="G253" s="22"/>
      <c r="H253" s="8">
        <v>2.166666666666667</v>
      </c>
      <c r="I253" s="17">
        <f>iferror(if(H253&gt;G253, H253-G253, G253-H253), "")</f>
        <v>25569.1875</v>
      </c>
      <c r="J253" s="18">
        <f>iferror(vlookup(A253, Calendar!$A$2:$C$261, 3, 0), "")</f>
      </c>
      <c r="K253" s="19">
        <f>if(C253&gt;D253, "NO CHECK-OUT", "")</f>
      </c>
      <c r="L253" s="20">
        <f>iferror(if(G253="", L252, if(G253="ATTENTION", L252-H253, if(H253&gt;G253, L252-I253, L252+I253))), "")</f>
        <v>25569.1875</v>
      </c>
    </row>
    <row x14ac:dyDescent="0.25" r="254" customHeight="1" ht="17.25">
      <c r="A254" s="6">
        <v>45910</v>
      </c>
      <c r="B254" s="21"/>
      <c r="C254" s="22"/>
      <c r="D254" s="22"/>
      <c r="E254" s="22"/>
      <c r="F254" s="22"/>
      <c r="G254" s="22"/>
      <c r="H254" s="8">
        <v>2.166666666666667</v>
      </c>
      <c r="I254" s="17">
        <f>iferror(if(H254&gt;G254, H254-G254, G254-H254), "")</f>
        <v>25569.1875</v>
      </c>
      <c r="J254" s="18">
        <f>iferror(vlookup(A254, Calendar!$A$2:$C$261, 3, 0), "")</f>
      </c>
      <c r="K254" s="19">
        <f>if(C254&gt;D254, "NO CHECK-OUT", "")</f>
      </c>
      <c r="L254" s="20">
        <f>iferror(if(G254="", L253, if(G254="ATTENTION", L253-H254, if(H254&gt;G254, L253-I254, L253+I254))), "")</f>
        <v>25569.1875</v>
      </c>
    </row>
    <row x14ac:dyDescent="0.25" r="255" customHeight="1" ht="17.25">
      <c r="A255" s="6">
        <v>45911</v>
      </c>
      <c r="B255" s="21"/>
      <c r="C255" s="22"/>
      <c r="D255" s="22"/>
      <c r="E255" s="22"/>
      <c r="F255" s="22"/>
      <c r="G255" s="22"/>
      <c r="H255" s="8">
        <v>2.166666666666667</v>
      </c>
      <c r="I255" s="17">
        <f>iferror(if(H255&gt;G255, H255-G255, G255-H255), "")</f>
        <v>25569.1875</v>
      </c>
      <c r="J255" s="18">
        <f>iferror(vlookup(A255, Calendar!$A$2:$C$261, 3, 0), "")</f>
      </c>
      <c r="K255" s="19">
        <f>if(C255&gt;D255, "NO CHECK-OUT", "")</f>
      </c>
      <c r="L255" s="20">
        <f>iferror(if(G255="", L254, if(G255="ATTENTION", L254-H255, if(H255&gt;G255, L254-I255, L254+I255))), "")</f>
        <v>25569.1875</v>
      </c>
    </row>
    <row x14ac:dyDescent="0.25" r="256" customHeight="1" ht="17.25">
      <c r="A256" s="6">
        <v>45912</v>
      </c>
      <c r="B256" s="21"/>
      <c r="C256" s="22"/>
      <c r="D256" s="22"/>
      <c r="E256" s="22"/>
      <c r="F256" s="22"/>
      <c r="G256" s="22"/>
      <c r="H256" s="8">
        <v>2.166666666666667</v>
      </c>
      <c r="I256" s="17">
        <f>iferror(if(H256&gt;G256, H256-G256, G256-H256), "")</f>
        <v>25569.1875</v>
      </c>
      <c r="J256" s="18">
        <f>iferror(vlookup(A256, Calendar!$A$2:$C$261, 3, 0), "")</f>
      </c>
      <c r="K256" s="19">
        <f>if(C256&gt;D256, "NO CHECK-OUT", "")</f>
      </c>
      <c r="L256" s="20">
        <f>iferror(if(G256="", L255, if(G256="ATTENTION", L255-H256, if(H256&gt;G256, L255-I256, L255+I256))), "")</f>
        <v>25569.1875</v>
      </c>
    </row>
    <row x14ac:dyDescent="0.25" r="257" customHeight="1" ht="17.25">
      <c r="A257" s="6">
        <v>45913</v>
      </c>
      <c r="B257" s="21"/>
      <c r="C257" s="22"/>
      <c r="D257" s="22"/>
      <c r="E257" s="22"/>
      <c r="F257" s="22"/>
      <c r="G257" s="22"/>
      <c r="H257" s="8">
        <v>2.166666666666667</v>
      </c>
      <c r="I257" s="17">
        <f>iferror(if(H257&gt;G257, H257-G257, G257-H257), "")</f>
        <v>25569.1875</v>
      </c>
      <c r="J257" s="18">
        <f>iferror(vlookup(A257, Calendar!$A$2:$C$261, 3, 0), "")</f>
      </c>
      <c r="K257" s="19">
        <f>if(C257&gt;D257, "NO CHECK-OUT", "")</f>
      </c>
      <c r="L257" s="20">
        <f>iferror(if(G257="", L256, if(G257="ATTENTION", L256-H257, if(H257&gt;G257, L256-I257, L256+I257))), "")</f>
        <v>25569.1875</v>
      </c>
    </row>
    <row x14ac:dyDescent="0.25" r="258" customHeight="1" ht="17.25">
      <c r="A258" s="6">
        <v>45914</v>
      </c>
      <c r="B258" s="21"/>
      <c r="C258" s="22"/>
      <c r="D258" s="22"/>
      <c r="E258" s="22"/>
      <c r="F258" s="22"/>
      <c r="G258" s="22"/>
      <c r="H258" s="8">
        <v>2.166666666666667</v>
      </c>
      <c r="I258" s="17">
        <f>iferror(if(H258&gt;G258, H258-G258, G258-H258), "")</f>
        <v>25569.1875</v>
      </c>
      <c r="J258" s="18">
        <f>iferror(vlookup(A258, Calendar!$A$2:$C$261, 3, 0), "")</f>
      </c>
      <c r="K258" s="19">
        <f>if(C258&gt;D258, "NO CHECK-OUT", "")</f>
      </c>
      <c r="L258" s="20">
        <f>iferror(if(G258="", L257, if(G258="ATTENTION", L257-H258, if(H258&gt;G258, L257-I258, L257+I258))), "")</f>
        <v>25569.1875</v>
      </c>
    </row>
    <row x14ac:dyDescent="0.25" r="259" customHeight="1" ht="17.25">
      <c r="A259" s="6">
        <v>45915</v>
      </c>
      <c r="B259" s="21"/>
      <c r="C259" s="22"/>
      <c r="D259" s="22"/>
      <c r="E259" s="22"/>
      <c r="F259" s="22"/>
      <c r="G259" s="22"/>
      <c r="H259" s="8">
        <v>2.166666666666667</v>
      </c>
      <c r="I259" s="17">
        <f>iferror(if(H259&gt;G259, H259-G259, G259-H259), "")</f>
        <v>25569.1875</v>
      </c>
      <c r="J259" s="18">
        <f>iferror(vlookup(A259, Calendar!$A$2:$C$261, 3, 0), "")</f>
      </c>
      <c r="K259" s="19">
        <f>if(C259&gt;D259, "NO CHECK-OUT", "")</f>
      </c>
      <c r="L259" s="20">
        <f>iferror(if(G259="", L258, if(G259="ATTENTION", L258-H259, if(H259&gt;G259, L258-I259, L258+I259))), "")</f>
        <v>25569.1875</v>
      </c>
    </row>
    <row x14ac:dyDescent="0.25" r="260" customHeight="1" ht="17.25">
      <c r="A260" s="6">
        <v>45916</v>
      </c>
      <c r="B260" s="21"/>
      <c r="C260" s="22"/>
      <c r="D260" s="22"/>
      <c r="E260" s="22"/>
      <c r="F260" s="22"/>
      <c r="G260" s="22"/>
      <c r="H260" s="8">
        <v>2.166666666666667</v>
      </c>
      <c r="I260" s="17">
        <f>iferror(if(H260&gt;G260, H260-G260, G260-H260), "")</f>
        <v>25569.1875</v>
      </c>
      <c r="J260" s="18">
        <f>iferror(vlookup(A260, Calendar!$A$2:$C$261, 3, 0), "")</f>
      </c>
      <c r="K260" s="19">
        <f>if(C260&gt;D260, "NO CHECK-OUT", "")</f>
      </c>
      <c r="L260" s="20">
        <f>iferror(if(G260="", L259, if(G260="ATTENTION", L259-H260, if(H260&gt;G260, L259-I260, L259+I260))), "")</f>
        <v>25569.1875</v>
      </c>
    </row>
    <row x14ac:dyDescent="0.25" r="261" customHeight="1" ht="17.25">
      <c r="A261" s="6">
        <v>45917</v>
      </c>
      <c r="B261" s="21"/>
      <c r="C261" s="22"/>
      <c r="D261" s="22"/>
      <c r="E261" s="22"/>
      <c r="F261" s="22"/>
      <c r="G261" s="22"/>
      <c r="H261" s="8">
        <v>2.166666666666667</v>
      </c>
      <c r="I261" s="17">
        <f>iferror(if(H261&gt;G261, H261-G261, G261-H261), "")</f>
        <v>25569.1875</v>
      </c>
      <c r="J261" s="18">
        <f>iferror(vlookup(A261, Calendar!$A$2:$C$261, 3, 0), "")</f>
      </c>
      <c r="K261" s="19">
        <f>if(C261&gt;D261, "NO CHECK-OUT", "")</f>
      </c>
      <c r="L261" s="20">
        <f>iferror(if(G261="", L260, if(G261="ATTENTION", L260-H261, if(H261&gt;G261, L260-I261, L260+I261))), "")</f>
        <v>25569.1875</v>
      </c>
    </row>
    <row x14ac:dyDescent="0.25" r="262" customHeight="1" ht="17.25">
      <c r="A262" s="6">
        <v>45918</v>
      </c>
      <c r="B262" s="21"/>
      <c r="C262" s="22"/>
      <c r="D262" s="22"/>
      <c r="E262" s="22"/>
      <c r="F262" s="22"/>
      <c r="G262" s="22"/>
      <c r="H262" s="8">
        <v>2.166666666666667</v>
      </c>
      <c r="I262" s="17">
        <f>iferror(if(H262&gt;G262, H262-G262, G262-H262), "")</f>
        <v>25569.1875</v>
      </c>
      <c r="J262" s="18">
        <f>iferror(vlookup(A262, Calendar!$A$2:$C$261, 3, 0), "")</f>
      </c>
      <c r="K262" s="19">
        <f>if(C262&gt;D262, "NO CHECK-OUT", "")</f>
      </c>
      <c r="L262" s="20">
        <f>iferror(if(G262="", L261, if(G262="ATTENTION", L261-H262, if(H262&gt;G262, L261-I262, L261+I262))), "")</f>
        <v>25569.1875</v>
      </c>
    </row>
    <row x14ac:dyDescent="0.25" r="263" customHeight="1" ht="17.25">
      <c r="A263" s="6">
        <v>45919</v>
      </c>
      <c r="B263" s="21"/>
      <c r="C263" s="22"/>
      <c r="D263" s="22"/>
      <c r="E263" s="22"/>
      <c r="F263" s="22"/>
      <c r="G263" s="22"/>
      <c r="H263" s="8">
        <v>2.166666666666667</v>
      </c>
      <c r="I263" s="17">
        <f>iferror(if(H263&gt;G263, H263-G263, G263-H263), "")</f>
        <v>25569.1875</v>
      </c>
      <c r="J263" s="18">
        <f>iferror(vlookup(A263, Calendar!$A$2:$C$261, 3, 0), "")</f>
      </c>
      <c r="K263" s="19">
        <f>if(C263&gt;D263, "NO CHECK-OUT", "")</f>
      </c>
      <c r="L263" s="20">
        <f>iferror(if(G263="", L262, if(G263="ATTENTION", L262-H263, if(H263&gt;G263, L262-I263, L262+I263))), "")</f>
        <v>25569.1875</v>
      </c>
    </row>
    <row x14ac:dyDescent="0.25" r="264" customHeight="1" ht="17.25">
      <c r="A264" s="6">
        <v>45920</v>
      </c>
      <c r="B264" s="21"/>
      <c r="C264" s="22"/>
      <c r="D264" s="22"/>
      <c r="E264" s="22"/>
      <c r="F264" s="22"/>
      <c r="G264" s="22"/>
      <c r="H264" s="8">
        <v>2.166666666666667</v>
      </c>
      <c r="I264" s="17">
        <f>iferror(if(H264&gt;G264, H264-G264, G264-H264), "")</f>
        <v>25569.1875</v>
      </c>
      <c r="J264" s="18">
        <f>iferror(vlookup(A264, Calendar!$A$2:$C$261, 3, 0), "")</f>
      </c>
      <c r="K264" s="19">
        <f>if(C264&gt;D264, "NO CHECK-OUT", "")</f>
      </c>
      <c r="L264" s="20">
        <f>iferror(if(G264="", L263, if(G264="ATTENTION", L263-H264, if(H264&gt;G264, L263-I264, L263+I264))), "")</f>
        <v>25569.1875</v>
      </c>
    </row>
    <row x14ac:dyDescent="0.25" r="265" customHeight="1" ht="17.25">
      <c r="A265" s="6">
        <v>45921</v>
      </c>
      <c r="B265" s="21"/>
      <c r="C265" s="22"/>
      <c r="D265" s="22"/>
      <c r="E265" s="22"/>
      <c r="F265" s="22"/>
      <c r="G265" s="22"/>
      <c r="H265" s="8">
        <v>2.166666666666667</v>
      </c>
      <c r="I265" s="17">
        <f>iferror(if(H265&gt;G265, H265-G265, G265-H265), "")</f>
        <v>25569.1875</v>
      </c>
      <c r="J265" s="18">
        <f>iferror(vlookup(A265, Calendar!$A$2:$C$261, 3, 0), "")</f>
      </c>
      <c r="K265" s="19">
        <f>if(C265&gt;D265, "NO CHECK-OUT", "")</f>
      </c>
      <c r="L265" s="20">
        <f>iferror(if(G265="", L264, if(G265="ATTENTION", L264-H265, if(H265&gt;G265, L264-I265, L264+I265))), "")</f>
        <v>25569.1875</v>
      </c>
    </row>
    <row x14ac:dyDescent="0.25" r="266" customHeight="1" ht="17.25">
      <c r="A266" s="6">
        <v>45922</v>
      </c>
      <c r="B266" s="21"/>
      <c r="C266" s="22"/>
      <c r="D266" s="22"/>
      <c r="E266" s="22"/>
      <c r="F266" s="22"/>
      <c r="G266" s="22"/>
      <c r="H266" s="8">
        <v>2.166666666666667</v>
      </c>
      <c r="I266" s="17">
        <f>iferror(if(H266&gt;G266, H266-G266, G266-H266), "")</f>
        <v>25569.1875</v>
      </c>
      <c r="J266" s="18">
        <f>iferror(vlookup(A266, Calendar!$A$2:$C$261, 3, 0), "")</f>
      </c>
      <c r="K266" s="19">
        <f>if(C266&gt;D266, "NO CHECK-OUT", "")</f>
      </c>
      <c r="L266" s="20">
        <f>iferror(if(G266="", L265, if(G266="ATTENTION", L265-H266, if(H266&gt;G266, L265-I266, L265+I266))), "")</f>
        <v>25569.1875</v>
      </c>
    </row>
    <row x14ac:dyDescent="0.25" r="267" customHeight="1" ht="17.25">
      <c r="A267" s="6">
        <v>45923</v>
      </c>
      <c r="B267" s="21"/>
      <c r="C267" s="22"/>
      <c r="D267" s="22"/>
      <c r="E267" s="22"/>
      <c r="F267" s="22"/>
      <c r="G267" s="22"/>
      <c r="H267" s="8">
        <v>2.166666666666667</v>
      </c>
      <c r="I267" s="17">
        <f>iferror(if(H267&gt;G267, H267-G267, G267-H267), "")</f>
        <v>25569.1875</v>
      </c>
      <c r="J267" s="18">
        <f>iferror(vlookup(A267, Calendar!$A$2:$C$261, 3, 0), "")</f>
      </c>
      <c r="K267" s="19">
        <f>if(C267&gt;D267, "NO CHECK-OUT", "")</f>
      </c>
      <c r="L267" s="20">
        <f>iferror(if(G267="", L266, if(G267="ATTENTION", L266-H267, if(H267&gt;G267, L266-I267, L266+I267))), "")</f>
        <v>25569.1875</v>
      </c>
    </row>
    <row x14ac:dyDescent="0.25" r="268" customHeight="1" ht="17.25">
      <c r="A268" s="6">
        <v>45924</v>
      </c>
      <c r="B268" s="21"/>
      <c r="C268" s="22"/>
      <c r="D268" s="22"/>
      <c r="E268" s="22"/>
      <c r="F268" s="22"/>
      <c r="G268" s="22"/>
      <c r="H268" s="8">
        <v>2.166666666666667</v>
      </c>
      <c r="I268" s="17">
        <f>iferror(if(H268&gt;G268, H268-G268, G268-H268), "")</f>
        <v>25569.1875</v>
      </c>
      <c r="J268" s="18">
        <f>iferror(vlookup(A268, Calendar!$A$2:$C$261, 3, 0), "")</f>
      </c>
      <c r="K268" s="19">
        <f>if(C268&gt;D268, "NO CHECK-OUT", "")</f>
      </c>
      <c r="L268" s="20">
        <f>iferror(if(G268="", L267, if(G268="ATTENTION", L267-H268, if(H268&gt;G268, L267-I268, L267+I268))), "")</f>
        <v>25569.1875</v>
      </c>
    </row>
    <row x14ac:dyDescent="0.25" r="269" customHeight="1" ht="17.25">
      <c r="A269" s="6">
        <v>45925</v>
      </c>
      <c r="B269" s="21"/>
      <c r="C269" s="22"/>
      <c r="D269" s="22"/>
      <c r="E269" s="22"/>
      <c r="F269" s="22"/>
      <c r="G269" s="22"/>
      <c r="H269" s="8">
        <v>2.166666666666667</v>
      </c>
      <c r="I269" s="17">
        <f>iferror(if(H269&gt;G269, H269-G269, G269-H269), "")</f>
        <v>25569.1875</v>
      </c>
      <c r="J269" s="18">
        <f>iferror(vlookup(A269, Calendar!$A$2:$C$261, 3, 0), "")</f>
      </c>
      <c r="K269" s="19">
        <f>if(C269&gt;D269, "NO CHECK-OUT", "")</f>
      </c>
      <c r="L269" s="20">
        <f>iferror(if(G269="", L268, if(G269="ATTENTION", L268-H269, if(H269&gt;G269, L268-I269, L268+I269))), "")</f>
        <v>25569.1875</v>
      </c>
    </row>
    <row x14ac:dyDescent="0.25" r="270" customHeight="1" ht="17.25">
      <c r="A270" s="6">
        <v>45926</v>
      </c>
      <c r="B270" s="21"/>
      <c r="C270" s="22"/>
      <c r="D270" s="22"/>
      <c r="E270" s="22"/>
      <c r="F270" s="22"/>
      <c r="G270" s="22"/>
      <c r="H270" s="8">
        <v>2.166666666666667</v>
      </c>
      <c r="I270" s="17">
        <f>iferror(if(H270&gt;G270, H270-G270, G270-H270), "")</f>
        <v>25569.1875</v>
      </c>
      <c r="J270" s="18">
        <f>iferror(vlookup(A270, Calendar!$A$2:$C$261, 3, 0), "")</f>
      </c>
      <c r="K270" s="19">
        <f>if(C270&gt;D270, "NO CHECK-OUT", "")</f>
      </c>
      <c r="L270" s="20">
        <f>iferror(if(G270="", L269, if(G270="ATTENTION", L269-H270, if(H270&gt;G270, L269-I270, L269+I270))), "")</f>
        <v>25569.1875</v>
      </c>
    </row>
    <row x14ac:dyDescent="0.25" r="271" customHeight="1" ht="17.25">
      <c r="A271" s="6">
        <v>45927</v>
      </c>
      <c r="B271" s="21"/>
      <c r="C271" s="22"/>
      <c r="D271" s="22"/>
      <c r="E271" s="22"/>
      <c r="F271" s="22"/>
      <c r="G271" s="22"/>
      <c r="H271" s="8">
        <v>2.166666666666667</v>
      </c>
      <c r="I271" s="17">
        <f>iferror(if(H271&gt;G271, H271-G271, G271-H271), "")</f>
        <v>25569.1875</v>
      </c>
      <c r="J271" s="18">
        <f>iferror(vlookup(A271, Calendar!$A$2:$C$261, 3, 0), "")</f>
      </c>
      <c r="K271" s="19">
        <f>if(C271&gt;D271, "NO CHECK-OUT", "")</f>
      </c>
      <c r="L271" s="20">
        <f>iferror(if(G271="", L270, if(G271="ATTENTION", L270-H271, if(H271&gt;G271, L270-I271, L270+I271))), "")</f>
        <v>25569.1875</v>
      </c>
    </row>
    <row x14ac:dyDescent="0.25" r="272" customHeight="1" ht="17.25">
      <c r="A272" s="6">
        <v>45928</v>
      </c>
      <c r="B272" s="21"/>
      <c r="C272" s="22"/>
      <c r="D272" s="22"/>
      <c r="E272" s="22"/>
      <c r="F272" s="22"/>
      <c r="G272" s="22"/>
      <c r="H272" s="8">
        <v>2.166666666666667</v>
      </c>
      <c r="I272" s="17">
        <f>iferror(if(H272&gt;G272, H272-G272, G272-H272), "")</f>
        <v>25569.1875</v>
      </c>
      <c r="J272" s="18">
        <f>iferror(vlookup(A272, Calendar!$A$2:$C$261, 3, 0), "")</f>
      </c>
      <c r="K272" s="19">
        <f>if(C272&gt;D272, "NO CHECK-OUT", "")</f>
      </c>
      <c r="L272" s="20">
        <f>iferror(if(G272="", L271, if(G272="ATTENTION", L271-H272, if(H272&gt;G272, L271-I272, L271+I272))), "")</f>
        <v>25569.1875</v>
      </c>
    </row>
    <row x14ac:dyDescent="0.25" r="273" customHeight="1" ht="17.25">
      <c r="A273" s="6">
        <v>45929</v>
      </c>
      <c r="B273" s="21"/>
      <c r="C273" s="22"/>
      <c r="D273" s="22"/>
      <c r="E273" s="22"/>
      <c r="F273" s="22"/>
      <c r="G273" s="22"/>
      <c r="H273" s="8">
        <v>2.166666666666667</v>
      </c>
      <c r="I273" s="17">
        <f>iferror(if(H273&gt;G273, H273-G273, G273-H273), "")</f>
        <v>25569.1875</v>
      </c>
      <c r="J273" s="18">
        <f>iferror(vlookup(A273, Calendar!$A$2:$C$261, 3, 0), "")</f>
      </c>
      <c r="K273" s="19">
        <f>if(C273&gt;D273, "NO CHECK-OUT", "")</f>
      </c>
      <c r="L273" s="20">
        <f>iferror(if(G273="", L272, if(G273="ATTENTION", L272-H273, if(H273&gt;G273, L272-I273, L272+I273))), "")</f>
        <v>25569.1875</v>
      </c>
    </row>
    <row x14ac:dyDescent="0.25" r="274" customHeight="1" ht="17.25">
      <c r="A274" s="6">
        <v>45930</v>
      </c>
      <c r="B274" s="21"/>
      <c r="C274" s="22"/>
      <c r="D274" s="22"/>
      <c r="E274" s="22"/>
      <c r="F274" s="22"/>
      <c r="G274" s="22"/>
      <c r="H274" s="8">
        <v>2.166666666666667</v>
      </c>
      <c r="I274" s="17">
        <f>iferror(if(H274&gt;G274, H274-G274, G274-H274), "")</f>
        <v>25569.1875</v>
      </c>
      <c r="J274" s="18">
        <f>iferror(vlookup(A274, Calendar!$A$2:$C$261, 3, 0), "")</f>
      </c>
      <c r="K274" s="19">
        <f>if(C274&gt;D274, "NO CHECK-OUT", "")</f>
      </c>
      <c r="L274" s="20">
        <f>iferror(if(G274="", L273, if(G274="ATTENTION", L273-H274, if(H274&gt;G274, L273-I274, L273+I274))), "")</f>
        <v>25569.1875</v>
      </c>
    </row>
    <row x14ac:dyDescent="0.25" r="275" customHeight="1" ht="17.25">
      <c r="A275" s="6">
        <v>45931</v>
      </c>
      <c r="B275" s="21"/>
      <c r="C275" s="22"/>
      <c r="D275" s="22"/>
      <c r="E275" s="22"/>
      <c r="F275" s="22"/>
      <c r="G275" s="22"/>
      <c r="H275" s="8">
        <v>2.166666666666667</v>
      </c>
      <c r="I275" s="17">
        <f>iferror(if(H275&gt;G275, H275-G275, G275-H275), "")</f>
        <v>25569.1875</v>
      </c>
      <c r="J275" s="18">
        <f>iferror(vlookup(A275, Calendar!$A$2:$C$261, 3, 0), "")</f>
      </c>
      <c r="K275" s="19">
        <f>if(C275&gt;D275, "NO CHECK-OUT", "")</f>
      </c>
      <c r="L275" s="20">
        <f>iferror(if(G275="", L274, if(G275="ATTENTION", L274-H275, if(H275&gt;G275, L274-I275, L274+I275))), "")</f>
        <v>25569.1875</v>
      </c>
    </row>
    <row x14ac:dyDescent="0.25" r="276" customHeight="1" ht="17.25">
      <c r="A276" s="6">
        <v>45932</v>
      </c>
      <c r="B276" s="21"/>
      <c r="C276" s="22"/>
      <c r="D276" s="22"/>
      <c r="E276" s="22"/>
      <c r="F276" s="22"/>
      <c r="G276" s="22"/>
      <c r="H276" s="8">
        <v>2.166666666666667</v>
      </c>
      <c r="I276" s="17">
        <f>iferror(if(H276&gt;G276, H276-G276, G276-H276), "")</f>
        <v>25569.1875</v>
      </c>
      <c r="J276" s="18">
        <f>iferror(vlookup(A276, Calendar!$A$2:$C$261, 3, 0), "")</f>
      </c>
      <c r="K276" s="19">
        <f>if(C276&gt;D276, "NO CHECK-OUT", "")</f>
      </c>
      <c r="L276" s="20">
        <f>iferror(if(G276="", L275, if(G276="ATTENTION", L275-H276, if(H276&gt;G276, L275-I276, L275+I276))), "")</f>
        <v>25569.1875</v>
      </c>
    </row>
    <row x14ac:dyDescent="0.25" r="277" customHeight="1" ht="17.25">
      <c r="A277" s="6">
        <v>45933</v>
      </c>
      <c r="B277" s="21"/>
      <c r="C277" s="22"/>
      <c r="D277" s="22"/>
      <c r="E277" s="22"/>
      <c r="F277" s="22"/>
      <c r="G277" s="22"/>
      <c r="H277" s="8">
        <v>2.166666666666667</v>
      </c>
      <c r="I277" s="17">
        <f>iferror(if(H277&gt;G277, H277-G277, G277-H277), "")</f>
        <v>25569.1875</v>
      </c>
      <c r="J277" s="18">
        <f>iferror(vlookup(A277, Calendar!$A$2:$C$261, 3, 0), "")</f>
      </c>
      <c r="K277" s="19">
        <f>if(C277&gt;D277, "NO CHECK-OUT", "")</f>
      </c>
      <c r="L277" s="20">
        <f>iferror(if(G277="", L276, if(G277="ATTENTION", L276-H277, if(H277&gt;G277, L276-I277, L276+I277))), "")</f>
        <v>25569.1875</v>
      </c>
    </row>
    <row x14ac:dyDescent="0.25" r="278" customHeight="1" ht="17.25">
      <c r="A278" s="6">
        <v>45934</v>
      </c>
      <c r="B278" s="21"/>
      <c r="C278" s="22"/>
      <c r="D278" s="22"/>
      <c r="E278" s="22"/>
      <c r="F278" s="22"/>
      <c r="G278" s="22"/>
      <c r="H278" s="8">
        <v>2.166666666666667</v>
      </c>
      <c r="I278" s="17">
        <f>iferror(if(H278&gt;G278, H278-G278, G278-H278), "")</f>
        <v>25569.1875</v>
      </c>
      <c r="J278" s="18">
        <f>iferror(vlookup(A278, Calendar!$A$2:$C$261, 3, 0), "")</f>
      </c>
      <c r="K278" s="19">
        <f>if(C278&gt;D278, "NO CHECK-OUT", "")</f>
      </c>
      <c r="L278" s="20">
        <f>iferror(if(G278="", L277, if(G278="ATTENTION", L277-H278, if(H278&gt;G278, L277-I278, L277+I278))), "")</f>
        <v>25569.1875</v>
      </c>
    </row>
    <row x14ac:dyDescent="0.25" r="279" customHeight="1" ht="17.25">
      <c r="A279" s="6">
        <v>45935</v>
      </c>
      <c r="B279" s="21"/>
      <c r="C279" s="22"/>
      <c r="D279" s="22"/>
      <c r="E279" s="22"/>
      <c r="F279" s="22"/>
      <c r="G279" s="22"/>
      <c r="H279" s="8">
        <v>2.166666666666667</v>
      </c>
      <c r="I279" s="17">
        <f>iferror(if(H279&gt;G279, H279-G279, G279-H279), "")</f>
        <v>25569.1875</v>
      </c>
      <c r="J279" s="18">
        <f>iferror(vlookup(A279, Calendar!$A$2:$C$261, 3, 0), "")</f>
      </c>
      <c r="K279" s="19">
        <f>if(C279&gt;D279, "NO CHECK-OUT", "")</f>
      </c>
      <c r="L279" s="20">
        <f>iferror(if(G279="", L278, if(G279="ATTENTION", L278-H279, if(H279&gt;G279, L278-I279, L278+I279))), "")</f>
        <v>25569.1875</v>
      </c>
    </row>
    <row x14ac:dyDescent="0.25" r="280" customHeight="1" ht="17.25">
      <c r="A280" s="6">
        <v>45936</v>
      </c>
      <c r="B280" s="21"/>
      <c r="C280" s="22"/>
      <c r="D280" s="22"/>
      <c r="E280" s="22"/>
      <c r="F280" s="22"/>
      <c r="G280" s="22"/>
      <c r="H280" s="8">
        <v>2.166666666666667</v>
      </c>
      <c r="I280" s="17">
        <f>iferror(if(H280&gt;G280, H280-G280, G280-H280), "")</f>
        <v>25569.1875</v>
      </c>
      <c r="J280" s="18">
        <f>iferror(vlookup(A280, Calendar!$A$2:$C$261, 3, 0), "")</f>
      </c>
      <c r="K280" s="19">
        <f>if(C280&gt;D280, "NO CHECK-OUT", "")</f>
      </c>
      <c r="L280" s="20">
        <f>iferror(if(G280="", L279, if(G280="ATTENTION", L279-H280, if(H280&gt;G280, L279-I280, L279+I280))), "")</f>
        <v>25569.1875</v>
      </c>
    </row>
    <row x14ac:dyDescent="0.25" r="281" customHeight="1" ht="17.25">
      <c r="A281" s="6">
        <v>45937</v>
      </c>
      <c r="B281" s="21"/>
      <c r="C281" s="22"/>
      <c r="D281" s="22"/>
      <c r="E281" s="22"/>
      <c r="F281" s="22"/>
      <c r="G281" s="22"/>
      <c r="H281" s="8">
        <v>2.166666666666667</v>
      </c>
      <c r="I281" s="17">
        <f>iferror(if(H281&gt;G281, H281-G281, G281-H281), "")</f>
        <v>25569.1875</v>
      </c>
      <c r="J281" s="18">
        <f>iferror(vlookup(A281, Calendar!$A$2:$C$261, 3, 0), "")</f>
      </c>
      <c r="K281" s="19">
        <f>if(C281&gt;D281, "NO CHECK-OUT", "")</f>
      </c>
      <c r="L281" s="20">
        <f>iferror(if(G281="", L280, if(G281="ATTENTION", L280-H281, if(H281&gt;G281, L280-I281, L280+I281))), "")</f>
        <v>25569.1875</v>
      </c>
    </row>
    <row x14ac:dyDescent="0.25" r="282" customHeight="1" ht="17.25">
      <c r="A282" s="6">
        <v>45938</v>
      </c>
      <c r="B282" s="21"/>
      <c r="C282" s="22"/>
      <c r="D282" s="22"/>
      <c r="E282" s="22"/>
      <c r="F282" s="22"/>
      <c r="G282" s="22"/>
      <c r="H282" s="8">
        <v>2.166666666666667</v>
      </c>
      <c r="I282" s="17">
        <f>iferror(if(H282&gt;G282, H282-G282, G282-H282), "")</f>
        <v>25569.1875</v>
      </c>
      <c r="J282" s="18">
        <f>iferror(vlookup(A282, Calendar!$A$2:$C$261, 3, 0), "")</f>
      </c>
      <c r="K282" s="19">
        <f>if(C282&gt;D282, "NO CHECK-OUT", "")</f>
      </c>
      <c r="L282" s="20">
        <f>iferror(if(G282="", L281, if(G282="ATTENTION", L281-H282, if(H282&gt;G282, L281-I282, L281+I282))), "")</f>
        <v>25569.1875</v>
      </c>
    </row>
    <row x14ac:dyDescent="0.25" r="283" customHeight="1" ht="17.25">
      <c r="A283" s="6">
        <v>45939</v>
      </c>
      <c r="B283" s="21"/>
      <c r="C283" s="22"/>
      <c r="D283" s="22"/>
      <c r="E283" s="22"/>
      <c r="F283" s="22"/>
      <c r="G283" s="22"/>
      <c r="H283" s="8">
        <v>2.166666666666667</v>
      </c>
      <c r="I283" s="17">
        <f>iferror(if(H283&gt;G283, H283-G283, G283-H283), "")</f>
        <v>25569.1875</v>
      </c>
      <c r="J283" s="18">
        <f>iferror(vlookup(A283, Calendar!$A$2:$C$261, 3, 0), "")</f>
      </c>
      <c r="K283" s="19">
        <f>if(C283&gt;D283, "NO CHECK-OUT", "")</f>
      </c>
      <c r="L283" s="20">
        <f>iferror(if(G283="", L282, if(G283="ATTENTION", L282-H283, if(H283&gt;G283, L282-I283, L282+I283))), "")</f>
        <v>25569.1875</v>
      </c>
    </row>
    <row x14ac:dyDescent="0.25" r="284" customHeight="1" ht="17.25">
      <c r="A284" s="6">
        <v>45940</v>
      </c>
      <c r="B284" s="21"/>
      <c r="C284" s="22"/>
      <c r="D284" s="22"/>
      <c r="E284" s="22"/>
      <c r="F284" s="22"/>
      <c r="G284" s="22"/>
      <c r="H284" s="8">
        <v>2.166666666666667</v>
      </c>
      <c r="I284" s="17">
        <f>iferror(if(H284&gt;G284, H284-G284, G284-H284), "")</f>
        <v>25569.1875</v>
      </c>
      <c r="J284" s="18">
        <f>iferror(vlookup(A284, Calendar!$A$2:$C$261, 3, 0), "")</f>
      </c>
      <c r="K284" s="19">
        <f>if(C284&gt;D284, "NO CHECK-OUT", "")</f>
      </c>
      <c r="L284" s="20">
        <f>iferror(if(G284="", L283, if(G284="ATTENTION", L283-H284, if(H284&gt;G284, L283-I284, L283+I284))), "")</f>
        <v>25569.1875</v>
      </c>
    </row>
    <row x14ac:dyDescent="0.25" r="285" customHeight="1" ht="17.25">
      <c r="A285" s="6">
        <v>45941</v>
      </c>
      <c r="B285" s="21"/>
      <c r="C285" s="22"/>
      <c r="D285" s="22"/>
      <c r="E285" s="22"/>
      <c r="F285" s="22"/>
      <c r="G285" s="22"/>
      <c r="H285" s="8">
        <v>2.166666666666667</v>
      </c>
      <c r="I285" s="17">
        <f>iferror(if(H285&gt;G285, H285-G285, G285-H285), "")</f>
        <v>25569.1875</v>
      </c>
      <c r="J285" s="18">
        <f>iferror(vlookup(A285, Calendar!$A$2:$C$261, 3, 0), "")</f>
      </c>
      <c r="K285" s="19">
        <f>if(C285&gt;D285, "NO CHECK-OUT", "")</f>
      </c>
      <c r="L285" s="20">
        <f>iferror(if(G285="", L284, if(G285="ATTENTION", L284-H285, if(H285&gt;G285, L284-I285, L284+I285))), "")</f>
        <v>25569.1875</v>
      </c>
    </row>
    <row x14ac:dyDescent="0.25" r="286" customHeight="1" ht="17.25">
      <c r="A286" s="6">
        <v>45942</v>
      </c>
      <c r="B286" s="21"/>
      <c r="C286" s="22"/>
      <c r="D286" s="22"/>
      <c r="E286" s="22"/>
      <c r="F286" s="22"/>
      <c r="G286" s="22"/>
      <c r="H286" s="8">
        <v>2.166666666666667</v>
      </c>
      <c r="I286" s="17">
        <f>iferror(if(H286&gt;G286, H286-G286, G286-H286), "")</f>
        <v>25569.1875</v>
      </c>
      <c r="J286" s="18">
        <f>iferror(vlookup(A286, Calendar!$A$2:$C$261, 3, 0), "")</f>
      </c>
      <c r="K286" s="19">
        <f>if(C286&gt;D286, "NO CHECK-OUT", "")</f>
      </c>
      <c r="L286" s="20">
        <f>iferror(if(G286="", L285, if(G286="ATTENTION", L285-H286, if(H286&gt;G286, L285-I286, L285+I286))), "")</f>
        <v>25569.1875</v>
      </c>
    </row>
    <row x14ac:dyDescent="0.25" r="287" customHeight="1" ht="17.25">
      <c r="A287" s="6">
        <v>45943</v>
      </c>
      <c r="B287" s="21"/>
      <c r="C287" s="22"/>
      <c r="D287" s="22"/>
      <c r="E287" s="22"/>
      <c r="F287" s="22"/>
      <c r="G287" s="22"/>
      <c r="H287" s="8">
        <v>2.166666666666667</v>
      </c>
      <c r="I287" s="17">
        <f>iferror(if(H287&gt;G287, H287-G287, G287-H287), "")</f>
        <v>25569.1875</v>
      </c>
      <c r="J287" s="18">
        <f>iferror(vlookup(A287, Calendar!$A$2:$C$261, 3, 0), "")</f>
      </c>
      <c r="K287" s="19">
        <f>if(C287&gt;D287, "NO CHECK-OUT", "")</f>
      </c>
      <c r="L287" s="20">
        <f>iferror(if(G287="", L286, if(G287="ATTENTION", L286-H287, if(H287&gt;G287, L286-I287, L286+I287))), "")</f>
        <v>25569.1875</v>
      </c>
    </row>
    <row x14ac:dyDescent="0.25" r="288" customHeight="1" ht="17.25">
      <c r="A288" s="6">
        <v>45944</v>
      </c>
      <c r="B288" s="21"/>
      <c r="C288" s="22"/>
      <c r="D288" s="22"/>
      <c r="E288" s="22"/>
      <c r="F288" s="22"/>
      <c r="G288" s="22"/>
      <c r="H288" s="8">
        <v>2.166666666666667</v>
      </c>
      <c r="I288" s="17">
        <f>iferror(if(H288&gt;G288, H288-G288, G288-H288), "")</f>
        <v>25569.1875</v>
      </c>
      <c r="J288" s="18">
        <f>iferror(vlookup(A288, Calendar!$A$2:$C$261, 3, 0), "")</f>
      </c>
      <c r="K288" s="19">
        <f>if(C288&gt;D288, "NO CHECK-OUT", "")</f>
      </c>
      <c r="L288" s="20">
        <f>iferror(if(G288="", L287, if(G288="ATTENTION", L287-H288, if(H288&gt;G288, L287-I288, L287+I288))), "")</f>
        <v>25569.1875</v>
      </c>
    </row>
    <row x14ac:dyDescent="0.25" r="289" customHeight="1" ht="17.25">
      <c r="A289" s="6">
        <v>45945</v>
      </c>
      <c r="B289" s="21"/>
      <c r="C289" s="22"/>
      <c r="D289" s="22"/>
      <c r="E289" s="22"/>
      <c r="F289" s="22"/>
      <c r="G289" s="22"/>
      <c r="H289" s="8">
        <v>2.166666666666667</v>
      </c>
      <c r="I289" s="17">
        <f>iferror(if(H289&gt;G289, H289-G289, G289-H289), "")</f>
        <v>25569.1875</v>
      </c>
      <c r="J289" s="18">
        <f>iferror(vlookup(A289, Calendar!$A$2:$C$261, 3, 0), "")</f>
      </c>
      <c r="K289" s="19">
        <f>if(C289&gt;D289, "NO CHECK-OUT", "")</f>
      </c>
      <c r="L289" s="20">
        <f>iferror(if(G289="", L288, if(G289="ATTENTION", L288-H289, if(H289&gt;G289, L288-I289, L288+I289))), "")</f>
        <v>25569.1875</v>
      </c>
    </row>
    <row x14ac:dyDescent="0.25" r="290" customHeight="1" ht="17.25">
      <c r="A290" s="6">
        <v>45946</v>
      </c>
      <c r="B290" s="21"/>
      <c r="C290" s="22"/>
      <c r="D290" s="22"/>
      <c r="E290" s="22"/>
      <c r="F290" s="22"/>
      <c r="G290" s="22"/>
      <c r="H290" s="8">
        <v>2.166666666666667</v>
      </c>
      <c r="I290" s="17">
        <f>iferror(if(H290&gt;G290, H290-G290, G290-H290), "")</f>
        <v>25569.1875</v>
      </c>
      <c r="J290" s="18">
        <f>iferror(vlookup(A290, Calendar!$A$2:$C$261, 3, 0), "")</f>
      </c>
      <c r="K290" s="19">
        <f>if(C290&gt;D290, "NO CHECK-OUT", "")</f>
      </c>
      <c r="L290" s="20">
        <f>iferror(if(G290="", L289, if(G290="ATTENTION", L289-H290, if(H290&gt;G290, L289-I290, L289+I290))), "")</f>
        <v>25569.1875</v>
      </c>
    </row>
    <row x14ac:dyDescent="0.25" r="291" customHeight="1" ht="17.25">
      <c r="A291" s="6">
        <v>45947</v>
      </c>
      <c r="B291" s="21"/>
      <c r="C291" s="22"/>
      <c r="D291" s="22"/>
      <c r="E291" s="22"/>
      <c r="F291" s="22"/>
      <c r="G291" s="22"/>
      <c r="H291" s="8">
        <v>2.166666666666667</v>
      </c>
      <c r="I291" s="17">
        <f>iferror(if(H291&gt;G291, H291-G291, G291-H291), "")</f>
        <v>25569.1875</v>
      </c>
      <c r="J291" s="18">
        <f>iferror(vlookup(A291, Calendar!$A$2:$C$261, 3, 0), "")</f>
      </c>
      <c r="K291" s="19">
        <f>if(C291&gt;D291, "NO CHECK-OUT", "")</f>
      </c>
      <c r="L291" s="20">
        <f>iferror(if(G291="", L290, if(G291="ATTENTION", L290-H291, if(H291&gt;G291, L290-I291, L290+I291))), "")</f>
        <v>25569.1875</v>
      </c>
    </row>
    <row x14ac:dyDescent="0.25" r="292" customHeight="1" ht="17.25">
      <c r="A292" s="6">
        <v>45948</v>
      </c>
      <c r="B292" s="21"/>
      <c r="C292" s="22"/>
      <c r="D292" s="22"/>
      <c r="E292" s="22"/>
      <c r="F292" s="22"/>
      <c r="G292" s="22"/>
      <c r="H292" s="8">
        <v>2.166666666666667</v>
      </c>
      <c r="I292" s="17">
        <f>iferror(if(H292&gt;G292, H292-G292, G292-H292), "")</f>
        <v>25569.1875</v>
      </c>
      <c r="J292" s="18">
        <f>iferror(vlookup(A292, Calendar!$A$2:$C$261, 3, 0), "")</f>
      </c>
      <c r="K292" s="19">
        <f>if(C292&gt;D292, "NO CHECK-OUT", "")</f>
      </c>
      <c r="L292" s="20">
        <f>iferror(if(G292="", L291, if(G292="ATTENTION", L291-H292, if(H292&gt;G292, L291-I292, L291+I292))), "")</f>
        <v>25569.1875</v>
      </c>
    </row>
    <row x14ac:dyDescent="0.25" r="293" customHeight="1" ht="17.25">
      <c r="A293" s="6">
        <v>45949</v>
      </c>
      <c r="B293" s="21"/>
      <c r="C293" s="22"/>
      <c r="D293" s="22"/>
      <c r="E293" s="22"/>
      <c r="F293" s="22"/>
      <c r="G293" s="22"/>
      <c r="H293" s="8">
        <v>2.166666666666667</v>
      </c>
      <c r="I293" s="17">
        <f>iferror(if(H293&gt;G293, H293-G293, G293-H293), "")</f>
        <v>25569.1875</v>
      </c>
      <c r="J293" s="18">
        <f>iferror(vlookup(A293, Calendar!$A$2:$C$261, 3, 0), "")</f>
      </c>
      <c r="K293" s="19">
        <f>if(C293&gt;D293, "NO CHECK-OUT", "")</f>
      </c>
      <c r="L293" s="20">
        <f>iferror(if(G293="", L292, if(G293="ATTENTION", L292-H293, if(H293&gt;G293, L292-I293, L292+I293))), "")</f>
        <v>25569.1875</v>
      </c>
    </row>
    <row x14ac:dyDescent="0.25" r="294" customHeight="1" ht="17.25">
      <c r="A294" s="6">
        <v>45950</v>
      </c>
      <c r="B294" s="21"/>
      <c r="C294" s="22"/>
      <c r="D294" s="22"/>
      <c r="E294" s="22"/>
      <c r="F294" s="22"/>
      <c r="G294" s="22"/>
      <c r="H294" s="8">
        <v>2.166666666666667</v>
      </c>
      <c r="I294" s="17">
        <f>iferror(if(H294&gt;G294, H294-G294, G294-H294), "")</f>
        <v>25569.1875</v>
      </c>
      <c r="J294" s="18">
        <f>iferror(vlookup(A294, Calendar!$A$2:$C$261, 3, 0), "")</f>
      </c>
      <c r="K294" s="19">
        <f>if(C294&gt;D294, "NO CHECK-OUT", "")</f>
      </c>
      <c r="L294" s="20">
        <f>iferror(if(G294="", L293, if(G294="ATTENTION", L293-H294, if(H294&gt;G294, L293-I294, L293+I294))), "")</f>
        <v>25569.1875</v>
      </c>
    </row>
    <row x14ac:dyDescent="0.25" r="295" customHeight="1" ht="17.25">
      <c r="A295" s="6">
        <v>45951</v>
      </c>
      <c r="B295" s="21"/>
      <c r="C295" s="22"/>
      <c r="D295" s="22"/>
      <c r="E295" s="22"/>
      <c r="F295" s="22"/>
      <c r="G295" s="22"/>
      <c r="H295" s="8">
        <v>2.166666666666667</v>
      </c>
      <c r="I295" s="17">
        <f>iferror(if(H295&gt;G295, H295-G295, G295-H295), "")</f>
        <v>25569.1875</v>
      </c>
      <c r="J295" s="18">
        <f>iferror(vlookup(A295, Calendar!$A$2:$C$261, 3, 0), "")</f>
      </c>
      <c r="K295" s="19">
        <f>if(C295&gt;D295, "NO CHECK-OUT", "")</f>
      </c>
      <c r="L295" s="20">
        <f>iferror(if(G295="", L294, if(G295="ATTENTION", L294-H295, if(H295&gt;G295, L294-I295, L294+I295))), "")</f>
        <v>25569.1875</v>
      </c>
    </row>
    <row x14ac:dyDescent="0.25" r="296" customHeight="1" ht="17.25">
      <c r="A296" s="6">
        <v>45952</v>
      </c>
      <c r="B296" s="21"/>
      <c r="C296" s="22"/>
      <c r="D296" s="22"/>
      <c r="E296" s="22"/>
      <c r="F296" s="22"/>
      <c r="G296" s="22"/>
      <c r="H296" s="8">
        <v>2.166666666666667</v>
      </c>
      <c r="I296" s="23"/>
      <c r="J296" s="24"/>
      <c r="K296" s="21"/>
      <c r="L296" s="23"/>
    </row>
    <row x14ac:dyDescent="0.25" r="297" customHeight="1" ht="17.25">
      <c r="A297" s="6">
        <v>45953</v>
      </c>
      <c r="B297" s="21"/>
      <c r="C297" s="22"/>
      <c r="D297" s="22"/>
      <c r="E297" s="22"/>
      <c r="F297" s="22"/>
      <c r="G297" s="22"/>
      <c r="H297" s="8">
        <v>2.166666666666667</v>
      </c>
      <c r="I297" s="23"/>
      <c r="J297" s="24"/>
      <c r="K297" s="21"/>
      <c r="L297" s="23"/>
    </row>
    <row x14ac:dyDescent="0.25" r="298" customHeight="1" ht="17.25">
      <c r="A298" s="6">
        <v>45954</v>
      </c>
      <c r="B298" s="21"/>
      <c r="C298" s="22"/>
      <c r="D298" s="22"/>
      <c r="E298" s="22"/>
      <c r="F298" s="22"/>
      <c r="G298" s="22"/>
      <c r="H298" s="8">
        <v>2.166666666666667</v>
      </c>
      <c r="I298" s="23"/>
      <c r="J298" s="24"/>
      <c r="K298" s="21"/>
      <c r="L298" s="23"/>
    </row>
    <row x14ac:dyDescent="0.25" r="299" customHeight="1" ht="17.25">
      <c r="A299" s="6">
        <v>45955</v>
      </c>
      <c r="B299" s="21"/>
      <c r="C299" s="22"/>
      <c r="D299" s="22"/>
      <c r="E299" s="22"/>
      <c r="F299" s="22"/>
      <c r="G299" s="22"/>
      <c r="H299" s="8">
        <v>2.166666666666667</v>
      </c>
      <c r="I299" s="23"/>
      <c r="J299" s="24"/>
      <c r="K299" s="21"/>
      <c r="L299" s="23"/>
    </row>
    <row x14ac:dyDescent="0.25" r="300" customHeight="1" ht="17.25">
      <c r="A300" s="6">
        <v>45956</v>
      </c>
      <c r="B300" s="21"/>
      <c r="C300" s="22"/>
      <c r="D300" s="22"/>
      <c r="E300" s="22"/>
      <c r="F300" s="22"/>
      <c r="G300" s="22"/>
      <c r="H300" s="8">
        <v>2.166666666666667</v>
      </c>
      <c r="I300" s="23"/>
      <c r="J300" s="24"/>
      <c r="K300" s="21"/>
      <c r="L300" s="23"/>
    </row>
    <row x14ac:dyDescent="0.25" r="301" customHeight="1" ht="17.25">
      <c r="A301" s="6">
        <v>45957</v>
      </c>
      <c r="B301" s="21"/>
      <c r="C301" s="22"/>
      <c r="D301" s="22"/>
      <c r="E301" s="22"/>
      <c r="F301" s="22"/>
      <c r="G301" s="22"/>
      <c r="H301" s="8">
        <v>2.166666666666667</v>
      </c>
      <c r="I301" s="23"/>
      <c r="J301" s="24"/>
      <c r="K301" s="21"/>
      <c r="L301" s="23"/>
    </row>
    <row x14ac:dyDescent="0.25" r="302" customHeight="1" ht="17.25">
      <c r="A302" s="6">
        <v>45958</v>
      </c>
      <c r="B302" s="21"/>
      <c r="C302" s="22"/>
      <c r="D302" s="22"/>
      <c r="E302" s="22"/>
      <c r="F302" s="22"/>
      <c r="G302" s="22"/>
      <c r="H302" s="8">
        <v>2.166666666666667</v>
      </c>
      <c r="I302" s="23"/>
      <c r="J302" s="24"/>
      <c r="K302" s="21"/>
      <c r="L302" s="23"/>
    </row>
    <row x14ac:dyDescent="0.25" r="303" customHeight="1" ht="17.25">
      <c r="A303" s="6">
        <v>45959</v>
      </c>
      <c r="B303" s="21"/>
      <c r="C303" s="22"/>
      <c r="D303" s="22"/>
      <c r="E303" s="22"/>
      <c r="F303" s="22"/>
      <c r="G303" s="22"/>
      <c r="H303" s="8">
        <v>2.166666666666667</v>
      </c>
      <c r="I303" s="23"/>
      <c r="J303" s="24"/>
      <c r="K303" s="21"/>
      <c r="L303" s="23"/>
    </row>
    <row x14ac:dyDescent="0.25" r="304" customHeight="1" ht="17.25">
      <c r="A304" s="6">
        <v>45960</v>
      </c>
      <c r="B304" s="21"/>
      <c r="C304" s="22"/>
      <c r="D304" s="22"/>
      <c r="E304" s="22"/>
      <c r="F304" s="22"/>
      <c r="G304" s="22"/>
      <c r="H304" s="8">
        <v>2.166666666666667</v>
      </c>
      <c r="I304" s="23"/>
      <c r="J304" s="24"/>
      <c r="K304" s="21"/>
      <c r="L304" s="23"/>
    </row>
    <row x14ac:dyDescent="0.25" r="305" customHeight="1" ht="17.25">
      <c r="A305" s="6">
        <v>45961</v>
      </c>
      <c r="B305" s="21"/>
      <c r="C305" s="22"/>
      <c r="D305" s="22"/>
      <c r="E305" s="22"/>
      <c r="F305" s="22"/>
      <c r="G305" s="22"/>
      <c r="H305" s="8">
        <v>2.166666666666667</v>
      </c>
      <c r="I305" s="23"/>
      <c r="J305" s="24"/>
      <c r="K305" s="21"/>
      <c r="L305" s="23"/>
    </row>
    <row x14ac:dyDescent="0.25" r="306" customHeight="1" ht="17.25">
      <c r="A306" s="6">
        <v>45962</v>
      </c>
      <c r="B306" s="21"/>
      <c r="C306" s="22"/>
      <c r="D306" s="22"/>
      <c r="E306" s="22"/>
      <c r="F306" s="22"/>
      <c r="G306" s="22"/>
      <c r="H306" s="8">
        <v>2.166666666666667</v>
      </c>
      <c r="I306" s="23"/>
      <c r="J306" s="24"/>
      <c r="K306" s="21"/>
      <c r="L306" s="23"/>
    </row>
    <row x14ac:dyDescent="0.25" r="307" customHeight="1" ht="17.25">
      <c r="A307" s="6">
        <v>45963</v>
      </c>
      <c r="B307" s="21"/>
      <c r="C307" s="22"/>
      <c r="D307" s="22"/>
      <c r="E307" s="22"/>
      <c r="F307" s="22"/>
      <c r="G307" s="22"/>
      <c r="H307" s="8">
        <v>2.166666666666667</v>
      </c>
      <c r="I307" s="23"/>
      <c r="J307" s="24"/>
      <c r="K307" s="21"/>
      <c r="L307" s="23"/>
    </row>
    <row x14ac:dyDescent="0.25" r="308" customHeight="1" ht="17.25">
      <c r="A308" s="6">
        <v>45964</v>
      </c>
      <c r="B308" s="21"/>
      <c r="C308" s="22"/>
      <c r="D308" s="22"/>
      <c r="E308" s="22"/>
      <c r="F308" s="22"/>
      <c r="G308" s="22"/>
      <c r="H308" s="8">
        <v>2.166666666666667</v>
      </c>
      <c r="I308" s="23"/>
      <c r="J308" s="24"/>
      <c r="K308" s="21"/>
      <c r="L308" s="23"/>
    </row>
    <row x14ac:dyDescent="0.25" r="309" customHeight="1" ht="17.25">
      <c r="A309" s="6">
        <v>45965</v>
      </c>
      <c r="B309" s="21"/>
      <c r="C309" s="22"/>
      <c r="D309" s="22"/>
      <c r="E309" s="22"/>
      <c r="F309" s="22"/>
      <c r="G309" s="22"/>
      <c r="H309" s="8">
        <v>2.166666666666667</v>
      </c>
      <c r="I309" s="23"/>
      <c r="J309" s="24"/>
      <c r="K309" s="21"/>
      <c r="L309" s="23"/>
    </row>
    <row x14ac:dyDescent="0.25" r="310" customHeight="1" ht="17.25">
      <c r="A310" s="6">
        <v>45966</v>
      </c>
      <c r="B310" s="21"/>
      <c r="C310" s="22"/>
      <c r="D310" s="22"/>
      <c r="E310" s="22"/>
      <c r="F310" s="22"/>
      <c r="G310" s="22"/>
      <c r="H310" s="8">
        <v>2.166666666666667</v>
      </c>
      <c r="I310" s="23"/>
      <c r="J310" s="24"/>
      <c r="K310" s="21"/>
      <c r="L310" s="23"/>
    </row>
    <row x14ac:dyDescent="0.25" r="311" customHeight="1" ht="17.25">
      <c r="A311" s="6">
        <v>45967</v>
      </c>
      <c r="B311" s="21"/>
      <c r="C311" s="22"/>
      <c r="D311" s="22"/>
      <c r="E311" s="22"/>
      <c r="F311" s="22"/>
      <c r="G311" s="22"/>
      <c r="H311" s="8">
        <v>2.166666666666667</v>
      </c>
      <c r="I311" s="23"/>
      <c r="J311" s="24"/>
      <c r="K311" s="21"/>
      <c r="L311" s="23"/>
    </row>
    <row x14ac:dyDescent="0.25" r="312" customHeight="1" ht="17.25">
      <c r="A312" s="6">
        <v>45968</v>
      </c>
      <c r="B312" s="21"/>
      <c r="C312" s="22"/>
      <c r="D312" s="22"/>
      <c r="E312" s="22"/>
      <c r="F312" s="22"/>
      <c r="G312" s="22"/>
      <c r="H312" s="8">
        <v>2.166666666666667</v>
      </c>
      <c r="I312" s="23"/>
      <c r="J312" s="24"/>
      <c r="K312" s="21"/>
      <c r="L312" s="23"/>
    </row>
    <row x14ac:dyDescent="0.25" r="313" customHeight="1" ht="17.25">
      <c r="A313" s="6">
        <v>45969</v>
      </c>
      <c r="B313" s="21"/>
      <c r="C313" s="22"/>
      <c r="D313" s="22"/>
      <c r="E313" s="22"/>
      <c r="F313" s="22"/>
      <c r="G313" s="22"/>
      <c r="H313" s="8">
        <v>2.166666666666667</v>
      </c>
      <c r="I313" s="23"/>
      <c r="J313" s="24"/>
      <c r="K313" s="21"/>
      <c r="L313" s="23"/>
    </row>
    <row x14ac:dyDescent="0.25" r="314" customHeight="1" ht="17.25">
      <c r="A314" s="6">
        <v>45970</v>
      </c>
      <c r="B314" s="21"/>
      <c r="C314" s="22"/>
      <c r="D314" s="22"/>
      <c r="E314" s="22"/>
      <c r="F314" s="22"/>
      <c r="G314" s="22"/>
      <c r="H314" s="8">
        <v>2.166666666666667</v>
      </c>
      <c r="I314" s="23"/>
      <c r="J314" s="24"/>
      <c r="K314" s="21"/>
      <c r="L314" s="23"/>
    </row>
    <row x14ac:dyDescent="0.25" r="315" customHeight="1" ht="17.25">
      <c r="A315" s="6">
        <v>45971</v>
      </c>
      <c r="B315" s="21"/>
      <c r="C315" s="22"/>
      <c r="D315" s="22"/>
      <c r="E315" s="22"/>
      <c r="F315" s="22"/>
      <c r="G315" s="22"/>
      <c r="H315" s="8">
        <v>2.166666666666667</v>
      </c>
      <c r="I315" s="23"/>
      <c r="J315" s="24"/>
      <c r="K315" s="21"/>
      <c r="L315" s="23"/>
    </row>
    <row x14ac:dyDescent="0.25" r="316" customHeight="1" ht="17.25">
      <c r="A316" s="6">
        <v>45972</v>
      </c>
      <c r="B316" s="21"/>
      <c r="C316" s="22"/>
      <c r="D316" s="22"/>
      <c r="E316" s="22"/>
      <c r="F316" s="22"/>
      <c r="G316" s="22"/>
      <c r="H316" s="8">
        <v>2.166666666666667</v>
      </c>
      <c r="I316" s="23"/>
      <c r="J316" s="24"/>
      <c r="K316" s="21"/>
      <c r="L316" s="23"/>
    </row>
    <row x14ac:dyDescent="0.25" r="317" customHeight="1" ht="17.25">
      <c r="A317" s="6">
        <v>45973</v>
      </c>
      <c r="B317" s="21"/>
      <c r="C317" s="22"/>
      <c r="D317" s="22"/>
      <c r="E317" s="22"/>
      <c r="F317" s="22"/>
      <c r="G317" s="22"/>
      <c r="H317" s="8">
        <v>2.166666666666667</v>
      </c>
      <c r="I317" s="23"/>
      <c r="J317" s="24"/>
      <c r="K317" s="21"/>
      <c r="L317" s="23"/>
    </row>
    <row x14ac:dyDescent="0.25" r="318" customHeight="1" ht="17.25">
      <c r="A318" s="6">
        <v>45974</v>
      </c>
      <c r="B318" s="21"/>
      <c r="C318" s="22"/>
      <c r="D318" s="22"/>
      <c r="E318" s="22"/>
      <c r="F318" s="22"/>
      <c r="G318" s="22"/>
      <c r="H318" s="8">
        <v>2.166666666666667</v>
      </c>
      <c r="I318" s="23"/>
      <c r="J318" s="24"/>
      <c r="K318" s="21"/>
      <c r="L318" s="23"/>
    </row>
    <row x14ac:dyDescent="0.25" r="319" customHeight="1" ht="17.25">
      <c r="A319" s="6">
        <v>45975</v>
      </c>
      <c r="B319" s="21"/>
      <c r="C319" s="22"/>
      <c r="D319" s="22"/>
      <c r="E319" s="22"/>
      <c r="F319" s="22"/>
      <c r="G319" s="22"/>
      <c r="H319" s="8">
        <v>2.166666666666667</v>
      </c>
      <c r="I319" s="23"/>
      <c r="J319" s="24"/>
      <c r="K319" s="21"/>
      <c r="L319" s="23"/>
    </row>
    <row x14ac:dyDescent="0.25" r="320" customHeight="1" ht="17.25">
      <c r="A320" s="6">
        <v>45976</v>
      </c>
      <c r="B320" s="21"/>
      <c r="C320" s="22"/>
      <c r="D320" s="22"/>
      <c r="E320" s="22"/>
      <c r="F320" s="22"/>
      <c r="G320" s="22"/>
      <c r="H320" s="8">
        <v>2.166666666666667</v>
      </c>
      <c r="I320" s="23"/>
      <c r="J320" s="24"/>
      <c r="K320" s="21"/>
      <c r="L320" s="23"/>
    </row>
    <row x14ac:dyDescent="0.25" r="321" customHeight="1" ht="17.25">
      <c r="A321" s="6">
        <v>45977</v>
      </c>
      <c r="B321" s="21"/>
      <c r="C321" s="22"/>
      <c r="D321" s="22"/>
      <c r="E321" s="22"/>
      <c r="F321" s="22"/>
      <c r="G321" s="22"/>
      <c r="H321" s="8">
        <v>2.166666666666667</v>
      </c>
      <c r="I321" s="23"/>
      <c r="J321" s="24"/>
      <c r="K321" s="21"/>
      <c r="L321" s="23"/>
    </row>
    <row x14ac:dyDescent="0.25" r="322" customHeight="1" ht="17.25">
      <c r="A322" s="6">
        <v>45978</v>
      </c>
      <c r="B322" s="21"/>
      <c r="C322" s="22"/>
      <c r="D322" s="22"/>
      <c r="E322" s="22"/>
      <c r="F322" s="22"/>
      <c r="G322" s="22"/>
      <c r="H322" s="8">
        <v>2.166666666666667</v>
      </c>
      <c r="I322" s="23"/>
      <c r="J322" s="24"/>
      <c r="K322" s="21"/>
      <c r="L322" s="23"/>
    </row>
    <row x14ac:dyDescent="0.25" r="323" customHeight="1" ht="17.25">
      <c r="A323" s="6">
        <v>45979</v>
      </c>
      <c r="B323" s="21"/>
      <c r="C323" s="22"/>
      <c r="D323" s="22"/>
      <c r="E323" s="22"/>
      <c r="F323" s="22"/>
      <c r="G323" s="22"/>
      <c r="H323" s="8">
        <v>2.166666666666667</v>
      </c>
      <c r="I323" s="23"/>
      <c r="J323" s="24"/>
      <c r="K323" s="21"/>
      <c r="L323" s="23"/>
    </row>
    <row x14ac:dyDescent="0.25" r="324" customHeight="1" ht="17.25">
      <c r="A324" s="6">
        <v>45980</v>
      </c>
      <c r="B324" s="21"/>
      <c r="C324" s="22"/>
      <c r="D324" s="22"/>
      <c r="E324" s="22"/>
      <c r="F324" s="22"/>
      <c r="G324" s="22"/>
      <c r="H324" s="8">
        <v>2.166666666666667</v>
      </c>
      <c r="I324" s="23"/>
      <c r="J324" s="24"/>
      <c r="K324" s="21"/>
      <c r="L324" s="23"/>
    </row>
    <row x14ac:dyDescent="0.25" r="325" customHeight="1" ht="17.25">
      <c r="A325" s="6">
        <v>45981</v>
      </c>
      <c r="B325" s="21"/>
      <c r="C325" s="22"/>
      <c r="D325" s="22"/>
      <c r="E325" s="22"/>
      <c r="F325" s="22"/>
      <c r="G325" s="22"/>
      <c r="H325" s="8">
        <v>2.166666666666667</v>
      </c>
      <c r="I325" s="23"/>
      <c r="J325" s="24"/>
      <c r="K325" s="21"/>
      <c r="L325" s="23"/>
    </row>
    <row x14ac:dyDescent="0.25" r="326" customHeight="1" ht="17.25">
      <c r="A326" s="6">
        <v>45982</v>
      </c>
      <c r="B326" s="21"/>
      <c r="C326" s="22"/>
      <c r="D326" s="22"/>
      <c r="E326" s="22"/>
      <c r="F326" s="22"/>
      <c r="G326" s="22"/>
      <c r="H326" s="8">
        <v>2.166666666666667</v>
      </c>
      <c r="I326" s="23"/>
      <c r="J326" s="24"/>
      <c r="K326" s="21"/>
      <c r="L326" s="23"/>
    </row>
    <row x14ac:dyDescent="0.25" r="327" customHeight="1" ht="17.25">
      <c r="A327" s="6">
        <v>45983</v>
      </c>
      <c r="B327" s="21"/>
      <c r="C327" s="22"/>
      <c r="D327" s="22"/>
      <c r="E327" s="22"/>
      <c r="F327" s="22"/>
      <c r="G327" s="22"/>
      <c r="H327" s="8">
        <v>2.166666666666667</v>
      </c>
      <c r="I327" s="23"/>
      <c r="J327" s="24"/>
      <c r="K327" s="21"/>
      <c r="L327" s="23"/>
    </row>
    <row x14ac:dyDescent="0.25" r="328" customHeight="1" ht="17.25">
      <c r="A328" s="6">
        <v>45984</v>
      </c>
      <c r="B328" s="21"/>
      <c r="C328" s="22"/>
      <c r="D328" s="22"/>
      <c r="E328" s="22"/>
      <c r="F328" s="22"/>
      <c r="G328" s="22"/>
      <c r="H328" s="8">
        <v>2.166666666666667</v>
      </c>
      <c r="I328" s="23"/>
      <c r="J328" s="24"/>
      <c r="K328" s="21"/>
      <c r="L328" s="23"/>
    </row>
    <row x14ac:dyDescent="0.25" r="329" customHeight="1" ht="17.25">
      <c r="A329" s="6">
        <v>45985</v>
      </c>
      <c r="B329" s="21"/>
      <c r="C329" s="22"/>
      <c r="D329" s="22"/>
      <c r="E329" s="22"/>
      <c r="F329" s="22"/>
      <c r="G329" s="22"/>
      <c r="H329" s="8">
        <v>2.166666666666667</v>
      </c>
      <c r="I329" s="23"/>
      <c r="J329" s="24"/>
      <c r="K329" s="21"/>
      <c r="L329" s="23"/>
    </row>
    <row x14ac:dyDescent="0.25" r="330" customHeight="1" ht="17.25">
      <c r="A330" s="6">
        <v>45986</v>
      </c>
      <c r="B330" s="21"/>
      <c r="C330" s="22"/>
      <c r="D330" s="22"/>
      <c r="E330" s="22"/>
      <c r="F330" s="22"/>
      <c r="G330" s="22"/>
      <c r="H330" s="8">
        <v>2.166666666666667</v>
      </c>
      <c r="I330" s="23"/>
      <c r="J330" s="24"/>
      <c r="K330" s="21"/>
      <c r="L330" s="23"/>
    </row>
    <row x14ac:dyDescent="0.25" r="331" customHeight="1" ht="17.25">
      <c r="A331" s="6">
        <v>45987</v>
      </c>
      <c r="B331" s="21"/>
      <c r="C331" s="22"/>
      <c r="D331" s="22"/>
      <c r="E331" s="22"/>
      <c r="F331" s="22"/>
      <c r="G331" s="22"/>
      <c r="H331" s="8">
        <v>2.166666666666667</v>
      </c>
      <c r="I331" s="23"/>
      <c r="J331" s="24"/>
      <c r="K331" s="21"/>
      <c r="L331" s="23"/>
    </row>
    <row x14ac:dyDescent="0.25" r="332" customHeight="1" ht="17.25">
      <c r="A332" s="6">
        <v>45988</v>
      </c>
      <c r="B332" s="21"/>
      <c r="C332" s="22"/>
      <c r="D332" s="22"/>
      <c r="E332" s="22"/>
      <c r="F332" s="22"/>
      <c r="G332" s="22"/>
      <c r="H332" s="8">
        <v>2.166666666666667</v>
      </c>
      <c r="I332" s="23"/>
      <c r="J332" s="24"/>
      <c r="K332" s="21"/>
      <c r="L332" s="23"/>
    </row>
    <row x14ac:dyDescent="0.25" r="333" customHeight="1" ht="17.25">
      <c r="A333" s="6">
        <v>45989</v>
      </c>
      <c r="B333" s="21"/>
      <c r="C333" s="22"/>
      <c r="D333" s="22"/>
      <c r="E333" s="22"/>
      <c r="F333" s="22"/>
      <c r="G333" s="22"/>
      <c r="H333" s="8">
        <v>2.166666666666667</v>
      </c>
      <c r="I333" s="23"/>
      <c r="J333" s="24"/>
      <c r="K333" s="21"/>
      <c r="L333" s="23"/>
    </row>
    <row x14ac:dyDescent="0.25" r="334" customHeight="1" ht="17.25">
      <c r="A334" s="6">
        <v>45990</v>
      </c>
      <c r="B334" s="21"/>
      <c r="C334" s="22"/>
      <c r="D334" s="22"/>
      <c r="E334" s="22"/>
      <c r="F334" s="22"/>
      <c r="G334" s="22"/>
      <c r="H334" s="8">
        <v>2.166666666666667</v>
      </c>
      <c r="I334" s="23"/>
      <c r="J334" s="24"/>
      <c r="K334" s="21"/>
      <c r="L334" s="23"/>
    </row>
    <row x14ac:dyDescent="0.25" r="335" customHeight="1" ht="17.25">
      <c r="A335" s="6">
        <v>45991</v>
      </c>
      <c r="B335" s="21"/>
      <c r="C335" s="22"/>
      <c r="D335" s="22"/>
      <c r="E335" s="22"/>
      <c r="F335" s="22"/>
      <c r="G335" s="22"/>
      <c r="H335" s="8">
        <v>2.166666666666667</v>
      </c>
      <c r="I335" s="23"/>
      <c r="J335" s="24"/>
      <c r="K335" s="21"/>
      <c r="L335" s="23"/>
    </row>
    <row x14ac:dyDescent="0.25" r="336" customHeight="1" ht="17.25">
      <c r="A336" s="6">
        <v>45992</v>
      </c>
      <c r="B336" s="21"/>
      <c r="C336" s="22"/>
      <c r="D336" s="22"/>
      <c r="E336" s="22"/>
      <c r="F336" s="22"/>
      <c r="G336" s="22"/>
      <c r="H336" s="8">
        <v>2.166666666666667</v>
      </c>
      <c r="I336" s="23"/>
      <c r="J336" s="24"/>
      <c r="K336" s="21"/>
      <c r="L336" s="23"/>
    </row>
    <row x14ac:dyDescent="0.25" r="337" customHeight="1" ht="17.25">
      <c r="A337" s="6">
        <v>45993</v>
      </c>
      <c r="B337" s="21"/>
      <c r="C337" s="22"/>
      <c r="D337" s="22"/>
      <c r="E337" s="22"/>
      <c r="F337" s="22"/>
      <c r="G337" s="22"/>
      <c r="H337" s="8">
        <v>2.166666666666667</v>
      </c>
      <c r="I337" s="23"/>
      <c r="J337" s="24"/>
      <c r="K337" s="21"/>
      <c r="L337" s="23"/>
    </row>
    <row x14ac:dyDescent="0.25" r="338" customHeight="1" ht="17.25">
      <c r="A338" s="6">
        <v>45994</v>
      </c>
      <c r="B338" s="21"/>
      <c r="C338" s="22"/>
      <c r="D338" s="22"/>
      <c r="E338" s="22"/>
      <c r="F338" s="22"/>
      <c r="G338" s="22"/>
      <c r="H338" s="8">
        <v>2.166666666666667</v>
      </c>
      <c r="I338" s="23"/>
      <c r="J338" s="24"/>
      <c r="K338" s="21"/>
      <c r="L338" s="23"/>
    </row>
    <row x14ac:dyDescent="0.25" r="339" customHeight="1" ht="17.25">
      <c r="A339" s="6">
        <v>45995</v>
      </c>
      <c r="B339" s="21"/>
      <c r="C339" s="22"/>
      <c r="D339" s="22"/>
      <c r="E339" s="22"/>
      <c r="F339" s="22"/>
      <c r="G339" s="22"/>
      <c r="H339" s="8">
        <v>2.166666666666667</v>
      </c>
      <c r="I339" s="23"/>
      <c r="J339" s="24"/>
      <c r="K339" s="21"/>
      <c r="L339" s="23"/>
    </row>
    <row x14ac:dyDescent="0.25" r="340" customHeight="1" ht="17.25">
      <c r="A340" s="6">
        <v>45996</v>
      </c>
      <c r="B340" s="21"/>
      <c r="C340" s="22"/>
      <c r="D340" s="22"/>
      <c r="E340" s="22"/>
      <c r="F340" s="22"/>
      <c r="G340" s="22"/>
      <c r="H340" s="8">
        <v>2.166666666666667</v>
      </c>
      <c r="I340" s="23"/>
      <c r="J340" s="24"/>
      <c r="K340" s="21"/>
      <c r="L340" s="23"/>
    </row>
    <row x14ac:dyDescent="0.25" r="341" customHeight="1" ht="17.25">
      <c r="A341" s="6">
        <v>45997</v>
      </c>
      <c r="B341" s="21"/>
      <c r="C341" s="22"/>
      <c r="D341" s="22"/>
      <c r="E341" s="22"/>
      <c r="F341" s="22"/>
      <c r="G341" s="22"/>
      <c r="H341" s="8">
        <v>2.166666666666667</v>
      </c>
      <c r="I341" s="23"/>
      <c r="J341" s="24"/>
      <c r="K341" s="21"/>
      <c r="L341" s="23"/>
    </row>
    <row x14ac:dyDescent="0.25" r="342" customHeight="1" ht="17.25">
      <c r="A342" s="6">
        <v>45998</v>
      </c>
      <c r="B342" s="21"/>
      <c r="C342" s="22"/>
      <c r="D342" s="22"/>
      <c r="E342" s="22"/>
      <c r="F342" s="22"/>
      <c r="G342" s="22"/>
      <c r="H342" s="8">
        <v>2.166666666666667</v>
      </c>
      <c r="I342" s="23"/>
      <c r="J342" s="24"/>
      <c r="K342" s="21"/>
      <c r="L342" s="23"/>
    </row>
    <row x14ac:dyDescent="0.25" r="343" customHeight="1" ht="17.25">
      <c r="A343" s="6">
        <v>45999</v>
      </c>
      <c r="B343" s="21"/>
      <c r="C343" s="22"/>
      <c r="D343" s="22"/>
      <c r="E343" s="22"/>
      <c r="F343" s="22"/>
      <c r="G343" s="22"/>
      <c r="H343" s="8">
        <v>2.166666666666667</v>
      </c>
      <c r="I343" s="23"/>
      <c r="J343" s="24"/>
      <c r="K343" s="21"/>
      <c r="L343" s="23"/>
    </row>
    <row x14ac:dyDescent="0.25" r="344" customHeight="1" ht="17.25">
      <c r="A344" s="6">
        <v>46000</v>
      </c>
      <c r="B344" s="21"/>
      <c r="C344" s="22"/>
      <c r="D344" s="22"/>
      <c r="E344" s="22"/>
      <c r="F344" s="22"/>
      <c r="G344" s="22"/>
      <c r="H344" s="8">
        <v>2.166666666666667</v>
      </c>
      <c r="I344" s="23"/>
      <c r="J344" s="24"/>
      <c r="K344" s="21"/>
      <c r="L344" s="23"/>
    </row>
    <row x14ac:dyDescent="0.25" r="345" customHeight="1" ht="17.25">
      <c r="A345" s="6">
        <v>46001</v>
      </c>
      <c r="B345" s="21"/>
      <c r="C345" s="22"/>
      <c r="D345" s="22"/>
      <c r="E345" s="22"/>
      <c r="F345" s="22"/>
      <c r="G345" s="22"/>
      <c r="H345" s="8">
        <v>2.166666666666667</v>
      </c>
      <c r="I345" s="23"/>
      <c r="J345" s="24"/>
      <c r="K345" s="21"/>
      <c r="L345" s="23"/>
    </row>
    <row x14ac:dyDescent="0.25" r="346" customHeight="1" ht="17.25">
      <c r="A346" s="6">
        <v>46002</v>
      </c>
      <c r="B346" s="21"/>
      <c r="C346" s="22"/>
      <c r="D346" s="22"/>
      <c r="E346" s="22"/>
      <c r="F346" s="22"/>
      <c r="G346" s="22"/>
      <c r="H346" s="8">
        <v>2.166666666666667</v>
      </c>
      <c r="I346" s="23"/>
      <c r="J346" s="24"/>
      <c r="K346" s="21"/>
      <c r="L346" s="23"/>
    </row>
    <row x14ac:dyDescent="0.25" r="347" customHeight="1" ht="17.25">
      <c r="A347" s="6">
        <v>46003</v>
      </c>
      <c r="B347" s="21"/>
      <c r="C347" s="22"/>
      <c r="D347" s="22"/>
      <c r="E347" s="22"/>
      <c r="F347" s="22"/>
      <c r="G347" s="22"/>
      <c r="H347" s="8">
        <v>2.166666666666667</v>
      </c>
      <c r="I347" s="23"/>
      <c r="J347" s="24"/>
      <c r="K347" s="21"/>
      <c r="L347" s="23"/>
    </row>
    <row x14ac:dyDescent="0.25" r="348" customHeight="1" ht="17.25">
      <c r="A348" s="6">
        <v>46004</v>
      </c>
      <c r="B348" s="21"/>
      <c r="C348" s="22"/>
      <c r="D348" s="22"/>
      <c r="E348" s="22"/>
      <c r="F348" s="22"/>
      <c r="G348" s="22"/>
      <c r="H348" s="8">
        <v>2.166666666666667</v>
      </c>
      <c r="I348" s="23"/>
      <c r="J348" s="24"/>
      <c r="K348" s="21"/>
      <c r="L348" s="23"/>
    </row>
    <row x14ac:dyDescent="0.25" r="349" customHeight="1" ht="17.25">
      <c r="A349" s="6">
        <v>46005</v>
      </c>
      <c r="B349" s="21"/>
      <c r="C349" s="22"/>
      <c r="D349" s="22"/>
      <c r="E349" s="22"/>
      <c r="F349" s="22"/>
      <c r="G349" s="22"/>
      <c r="H349" s="8">
        <v>2.166666666666667</v>
      </c>
      <c r="I349" s="23"/>
      <c r="J349" s="24"/>
      <c r="K349" s="21"/>
      <c r="L349" s="23"/>
    </row>
    <row x14ac:dyDescent="0.25" r="350" customHeight="1" ht="17.25">
      <c r="A350" s="6">
        <v>46006</v>
      </c>
      <c r="B350" s="21"/>
      <c r="C350" s="22"/>
      <c r="D350" s="22"/>
      <c r="E350" s="22"/>
      <c r="F350" s="22"/>
      <c r="G350" s="22"/>
      <c r="H350" s="8">
        <v>2.166666666666667</v>
      </c>
      <c r="I350" s="23"/>
      <c r="J350" s="24"/>
      <c r="K350" s="21"/>
      <c r="L350" s="23"/>
    </row>
    <row x14ac:dyDescent="0.25" r="351" customHeight="1" ht="17.25">
      <c r="A351" s="6">
        <v>46007</v>
      </c>
      <c r="B351" s="21"/>
      <c r="C351" s="22"/>
      <c r="D351" s="22"/>
      <c r="E351" s="22"/>
      <c r="F351" s="22"/>
      <c r="G351" s="22"/>
      <c r="H351" s="8">
        <v>2.166666666666667</v>
      </c>
      <c r="I351" s="23"/>
      <c r="J351" s="24"/>
      <c r="K351" s="21"/>
      <c r="L351" s="23"/>
    </row>
    <row x14ac:dyDescent="0.25" r="352" customHeight="1" ht="17.25">
      <c r="A352" s="6">
        <v>46008</v>
      </c>
      <c r="B352" s="21"/>
      <c r="C352" s="22"/>
      <c r="D352" s="22"/>
      <c r="E352" s="22"/>
      <c r="F352" s="22"/>
      <c r="G352" s="22"/>
      <c r="H352" s="8">
        <v>2.166666666666667</v>
      </c>
      <c r="I352" s="23"/>
      <c r="J352" s="24"/>
      <c r="K352" s="21"/>
      <c r="L352" s="23"/>
    </row>
    <row x14ac:dyDescent="0.25" r="353" customHeight="1" ht="17.25">
      <c r="A353" s="6">
        <v>46009</v>
      </c>
      <c r="B353" s="21"/>
      <c r="C353" s="22"/>
      <c r="D353" s="22"/>
      <c r="E353" s="22"/>
      <c r="F353" s="22"/>
      <c r="G353" s="22"/>
      <c r="H353" s="8">
        <v>2.166666666666667</v>
      </c>
      <c r="I353" s="23"/>
      <c r="J353" s="24"/>
      <c r="K353" s="21"/>
      <c r="L353" s="23"/>
    </row>
    <row x14ac:dyDescent="0.25" r="354" customHeight="1" ht="17.25">
      <c r="A354" s="6">
        <v>46010</v>
      </c>
      <c r="B354" s="21"/>
      <c r="C354" s="22"/>
      <c r="D354" s="22"/>
      <c r="E354" s="22"/>
      <c r="F354" s="22"/>
      <c r="G354" s="22"/>
      <c r="H354" s="8">
        <v>2.166666666666667</v>
      </c>
      <c r="I354" s="23"/>
      <c r="J354" s="24"/>
      <c r="K354" s="21"/>
      <c r="L354" s="23"/>
    </row>
    <row x14ac:dyDescent="0.25" r="355" customHeight="1" ht="17.25">
      <c r="A355" s="6">
        <v>46011</v>
      </c>
      <c r="B355" s="21"/>
      <c r="C355" s="22"/>
      <c r="D355" s="22"/>
      <c r="E355" s="22"/>
      <c r="F355" s="22"/>
      <c r="G355" s="22"/>
      <c r="H355" s="8">
        <v>2.166666666666667</v>
      </c>
      <c r="I355" s="23"/>
      <c r="J355" s="24"/>
      <c r="K355" s="21"/>
      <c r="L355" s="23"/>
    </row>
    <row x14ac:dyDescent="0.25" r="356" customHeight="1" ht="17.25">
      <c r="A356" s="6">
        <v>46012</v>
      </c>
      <c r="B356" s="21"/>
      <c r="C356" s="22"/>
      <c r="D356" s="22"/>
      <c r="E356" s="22"/>
      <c r="F356" s="22"/>
      <c r="G356" s="22"/>
      <c r="H356" s="8">
        <v>2.166666666666667</v>
      </c>
      <c r="I356" s="23"/>
      <c r="J356" s="24"/>
      <c r="K356" s="21"/>
      <c r="L356" s="23"/>
    </row>
    <row x14ac:dyDescent="0.25" r="357" customHeight="1" ht="17.25">
      <c r="A357" s="6">
        <v>46013</v>
      </c>
      <c r="B357" s="21"/>
      <c r="C357" s="22"/>
      <c r="D357" s="22"/>
      <c r="E357" s="22"/>
      <c r="F357" s="22"/>
      <c r="G357" s="22"/>
      <c r="H357" s="8">
        <v>2.166666666666667</v>
      </c>
      <c r="I357" s="23"/>
      <c r="J357" s="24"/>
      <c r="K357" s="21"/>
      <c r="L357" s="23"/>
    </row>
    <row x14ac:dyDescent="0.25" r="358" customHeight="1" ht="17.25">
      <c r="A358" s="6">
        <v>46014</v>
      </c>
      <c r="B358" s="21"/>
      <c r="C358" s="22"/>
      <c r="D358" s="22"/>
      <c r="E358" s="22"/>
      <c r="F358" s="22"/>
      <c r="G358" s="22"/>
      <c r="H358" s="8">
        <v>2.166666666666667</v>
      </c>
      <c r="I358" s="23"/>
      <c r="J358" s="24"/>
      <c r="K358" s="21"/>
      <c r="L358" s="23"/>
    </row>
    <row x14ac:dyDescent="0.25" r="359" customHeight="1" ht="17.25">
      <c r="A359" s="6">
        <v>46015</v>
      </c>
      <c r="B359" s="21"/>
      <c r="C359" s="22"/>
      <c r="D359" s="22"/>
      <c r="E359" s="22"/>
      <c r="F359" s="22"/>
      <c r="G359" s="22"/>
      <c r="H359" s="8">
        <v>2.166666666666667</v>
      </c>
      <c r="I359" s="23"/>
      <c r="J359" s="24"/>
      <c r="K359" s="21"/>
      <c r="L359" s="23"/>
    </row>
    <row x14ac:dyDescent="0.25" r="360" customHeight="1" ht="17.25">
      <c r="A360" s="6">
        <v>46016</v>
      </c>
      <c r="B360" s="21"/>
      <c r="C360" s="22"/>
      <c r="D360" s="22"/>
      <c r="E360" s="22"/>
      <c r="F360" s="22"/>
      <c r="G360" s="22"/>
      <c r="H360" s="8">
        <v>2.166666666666667</v>
      </c>
      <c r="I360" s="23"/>
      <c r="J360" s="24"/>
      <c r="K360" s="21"/>
      <c r="L360" s="23"/>
    </row>
    <row x14ac:dyDescent="0.25" r="361" customHeight="1" ht="17.25">
      <c r="A361" s="6">
        <v>46017</v>
      </c>
      <c r="B361" s="21"/>
      <c r="C361" s="22"/>
      <c r="D361" s="22"/>
      <c r="E361" s="22"/>
      <c r="F361" s="22"/>
      <c r="G361" s="22"/>
      <c r="H361" s="8">
        <v>2.166666666666667</v>
      </c>
      <c r="I361" s="23"/>
      <c r="J361" s="24"/>
      <c r="K361" s="21"/>
      <c r="L361" s="23"/>
    </row>
    <row x14ac:dyDescent="0.25" r="362" customHeight="1" ht="17.25">
      <c r="A362" s="6">
        <v>46018</v>
      </c>
      <c r="B362" s="21"/>
      <c r="C362" s="22"/>
      <c r="D362" s="22"/>
      <c r="E362" s="22"/>
      <c r="F362" s="22"/>
      <c r="G362" s="22"/>
      <c r="H362" s="8">
        <v>2.166666666666667</v>
      </c>
      <c r="I362" s="23"/>
      <c r="J362" s="24"/>
      <c r="K362" s="21"/>
      <c r="L362" s="23"/>
    </row>
    <row x14ac:dyDescent="0.25" r="363" customHeight="1" ht="17.25">
      <c r="A363" s="6">
        <v>46019</v>
      </c>
      <c r="B363" s="21"/>
      <c r="C363" s="22"/>
      <c r="D363" s="22"/>
      <c r="E363" s="22"/>
      <c r="F363" s="22"/>
      <c r="G363" s="22"/>
      <c r="H363" s="8">
        <v>2.166666666666667</v>
      </c>
      <c r="I363" s="23"/>
      <c r="J363" s="24"/>
      <c r="K363" s="21"/>
      <c r="L363" s="23"/>
    </row>
    <row x14ac:dyDescent="0.25" r="364" customHeight="1" ht="17.25">
      <c r="A364" s="6">
        <v>46020</v>
      </c>
      <c r="B364" s="21"/>
      <c r="C364" s="22"/>
      <c r="D364" s="22"/>
      <c r="E364" s="22"/>
      <c r="F364" s="22"/>
      <c r="G364" s="22"/>
      <c r="H364" s="8">
        <v>2.166666666666667</v>
      </c>
      <c r="I364" s="23"/>
      <c r="J364" s="24"/>
      <c r="K364" s="21"/>
      <c r="L364" s="23"/>
    </row>
    <row x14ac:dyDescent="0.25" r="365" customHeight="1" ht="17.25">
      <c r="A365" s="6">
        <v>46021</v>
      </c>
      <c r="B365" s="21"/>
      <c r="C365" s="22"/>
      <c r="D365" s="22"/>
      <c r="E365" s="22"/>
      <c r="F365" s="22"/>
      <c r="G365" s="22"/>
      <c r="H365" s="8">
        <v>2.166666666666667</v>
      </c>
      <c r="I365" s="23"/>
      <c r="J365" s="24"/>
      <c r="K365" s="21"/>
      <c r="L365" s="23"/>
    </row>
    <row x14ac:dyDescent="0.25" r="366" customHeight="1" ht="17.25">
      <c r="A366" s="6">
        <v>46022</v>
      </c>
      <c r="B366" s="21"/>
      <c r="C366" s="22"/>
      <c r="D366" s="22"/>
      <c r="E366" s="22"/>
      <c r="F366" s="22"/>
      <c r="G366" s="22"/>
      <c r="H366" s="8">
        <v>2.166666666666667</v>
      </c>
      <c r="I366" s="23"/>
      <c r="J366" s="24"/>
      <c r="K366" s="21"/>
      <c r="L366" s="23"/>
    </row>
  </sheetData>
  <pageMargins left="0.7" right="0.7" top="0.75" bottom="0.75" header="0.3" footer="0.3"/>
</worksheet>
</file>

<file path=docProps/app.xml><?xml version="1.0" encoding="utf-8"?>
<Properties xmlns:vt="http://schemas.openxmlformats.org/officeDocument/2006/docPropsVTypes" xmlns="http://schemas.openxmlformats.org/officeDocument/2006/extended-properties">
  <Application>wijmo.xlsx</Application>
  <DocSecurity>0</DocSecurity>
  <ScaleCrop>false</ScaleCrop>
  <HeadingPairs>
    <vt:vector baseType="variant" size="2">
      <vt:variant>
        <vt:lpstr>Worksheets</vt:lpstr>
      </vt:variant>
      <vt:variant>
        <vt:i4>3</vt:i4>
      </vt:variant>
    </vt:vector>
  </HeadingPairs>
  <TitlesOfParts>
    <vt:vector baseType="lpstr" size="3">
      <vt:lpstr>ImportData</vt:lpstr>
      <vt:lpstr>Calendar</vt:lpstr>
      <vt:lpstr>AllData</vt:lpstr>
    </vt:vector>
  </TitlesOfParts>
  <Manager/>
  <Company>GrapeCity, Inc.</Company>
  <LinksUpToDate>false</LinksUpToDate>
  <SharedDoc>false</SharedDoc>
  <HyperlinksChanged>false</HyperlinksChanged>
  <AppVersion>1.0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2025-02-19T13:01:17.884Z</dcterms:created>
  <dcterms:modified xsi:type="dcterms:W3CDTF">2025-02-19T13:01:17.884Z</dcterms:modified>
</cp:coreProperties>
</file>